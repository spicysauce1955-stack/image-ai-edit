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00daa99f7914ed9" /></Relationships>
</file>

<file path=xl/workbook.xml><?xml version="1.0" encoding="utf-8"?>
<x:workbook xmlns:x="http://schemas.openxmlformats.org/spreadsheetml/2006/main">
  <x:sheets>
    <x:sheet xmlns:r="http://schemas.openxmlformats.org/officeDocument/2006/relationships" name="Shopping list" sheetId="1" r:id="R97b941e41eb343e6"/>
    <x:sheet xmlns:r="http://schemas.openxmlformats.org/officeDocument/2006/relationships" name="Project-dependent" sheetId="2" r:id="R882cb96bcd1e4f23"/>
    <x:sheet xmlns:r="http://schemas.openxmlformats.org/officeDocument/2006/relationships" name="Product research" sheetId="3" r:id="R29399c5ba672408d"/>
    <x:sheet xmlns:r="http://schemas.openxmlformats.org/officeDocument/2006/relationships" name="Start here" sheetId="4" r:id="Rac0da574a1af4425"/>
    <x:sheet xmlns:r="http://schemas.openxmlformats.org/officeDocument/2006/relationships" name="Electronics starter" sheetId="5" r:id="R6cd2bb449d14423b"/>
    <x:sheet xmlns:r="http://schemas.openxmlformats.org/officeDocument/2006/relationships" name="Full comparison" sheetId="6" r:id="Rda2bae3d43a9411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quot;₪&quot;#,##0"/>
    <x:numFmt numFmtId="201" formatCode="0"/>
    <x:numFmt numFmtId="202" formatCode="#,##0.00"/>
  </x:numFmts>
  <x:fonts count="10">
    <x:font>
      <x:sz val="11"/>
      <x:name val="Carlito"/>
    </x:font>
    <x:font>
      <x:sz val="11"/>
      <x:color rgb="FF202A35"/>
      <x:name val="Arial"/>
    </x:font>
    <x:font>
      <x:b/>
      <x:sz val="17"/>
      <x:color rgb="FF244A69"/>
      <x:name val="Arial"/>
    </x:font>
    <x:font>
      <x:sz val="11"/>
      <x:color rgb="FF566371"/>
      <x:name val="Arial"/>
    </x:font>
    <x:font>
      <x:b/>
      <x:sz val="11"/>
      <x:color rgb="FF244A69"/>
      <x:name val="Arial"/>
    </x:font>
    <x:font>
      <x:b/>
      <x:sz val="11"/>
      <x:color rgb="FFFFFFFF"/>
      <x:name val="Arial"/>
    </x:font>
    <x:font>
      <x:sz val="11"/>
      <x:color rgb="FF2966A3"/>
      <x:name val="Arial"/>
    </x:font>
    <x:font>
      <x:b/>
      <x:sz val="18"/>
      <x:color rgb="FF244A69"/>
      <x:name val="Arial"/>
    </x:font>
    <x:font>
      <x:sz val="11"/>
      <x:color rgb="FF253746"/>
      <x:name val="Arial"/>
    </x:font>
    <x:font>
      <x:b/>
      <x:sz val="14"/>
      <x:color rgb="FF244A69"/>
      <x:name val="Arial"/>
    </x:font>
  </x:fonts>
  <x:fills count="25">
    <x:fill>
      <x:patternFill patternType="none"/>
    </x:fill>
    <x:fill>
      <x:patternFill patternType="gray125"/>
    </x:fill>
    <x:fill>
      <x:patternFill patternType="solid">
        <x:fgColor rgb="FFFFF2CC"/>
      </x:patternFill>
    </x:fill>
    <x:fill>
      <x:patternFill patternType="solid">
        <x:fgColor rgb="FF244A69"/>
      </x:patternFill>
    </x:fill>
    <x:fill>
      <x:patternFill patternType="solid">
        <x:fgColor rgb="FF244A69"/>
      </x:patternFill>
    </x:fill>
    <x:fill>
      <x:patternFill patternType="solid">
        <x:fgColor rgb="FFDFF1EB"/>
      </x:patternFill>
    </x:fill>
    <x:fill>
      <x:patternFill patternType="solid">
        <x:fgColor rgb="FFEDF1F4"/>
      </x:patternFill>
    </x:fill>
    <x:fill>
      <x:patternFill patternType="solid">
        <x:fgColor rgb="FFFFF2CC"/>
      </x:patternFill>
    </x:fill>
    <x:fill>
      <x:patternFill patternType="solid">
        <x:fgColor rgb="FFFFF2CC"/>
      </x:patternFill>
    </x:fill>
    <x:fill>
      <x:patternFill patternType="solid">
        <x:fgColor rgb="FF244A69"/>
      </x:patternFill>
    </x:fill>
    <x:fill>
      <x:patternFill patternType="solid">
        <x:fgColor rgb="FFFFF2CC"/>
      </x:patternFill>
    </x:fill>
    <x:fill>
      <x:patternFill patternType="solid">
        <x:fgColor rgb="FFDFF1EB"/>
      </x:patternFill>
    </x:fill>
    <x:fill>
      <x:patternFill patternType="solid">
        <x:fgColor rgb="FFEDF1F4"/>
      </x:patternFill>
    </x:fill>
    <x:fill>
      <x:patternFill patternType="solid">
        <x:fgColor rgb="FF244A69"/>
      </x:patternFill>
    </x:fill>
    <x:fill>
      <x:patternFill patternType="solid">
        <x:fgColor rgb="FF244A69"/>
      </x:patternFill>
    </x:fill>
    <x:fill>
      <x:patternFill patternType="solid">
        <x:fgColor rgb="FFEDF1F4"/>
      </x:patternFill>
    </x:fill>
    <x:fill>
      <x:patternFill patternType="solid">
        <x:fgColor rgb="FFDFF1EB"/>
      </x:patternFill>
    </x:fill>
    <x:fill>
      <x:patternFill patternType="solid">
        <x:fgColor rgb="FFF0F3F6"/>
      </x:patternFill>
    </x:fill>
    <x:fill>
      <x:patternFill patternType="solid">
        <x:fgColor rgb="FFE8EFF8"/>
      </x:patternFill>
    </x:fill>
    <x:fill>
      <x:patternFill patternType="solid">
        <x:fgColor rgb="FFFFF2CC"/>
      </x:patternFill>
    </x:fill>
    <x:fill>
      <x:patternFill patternType="solid">
        <x:fgColor rgb="FFFCE4D6"/>
      </x:patternFill>
    </x:fill>
    <x:fill>
      <x:patternFill patternType="solid">
        <x:fgColor rgb="FFE8EFF8"/>
      </x:patternFill>
    </x:fill>
    <x:fill>
      <x:patternFill patternType="solid">
        <x:fgColor rgb="FFF0F3F6"/>
      </x:patternFill>
    </x:fill>
    <x:fill>
      <x:patternFill patternType="solid">
        <x:fgColor rgb="FFDFF1EB"/>
      </x:patternFill>
    </x:fill>
    <x:fill>
      <x:patternFill patternType="solid">
        <x:fgColor rgb="FF244A69"/>
      </x:patternFill>
    </x:fill>
  </x:fills>
  <x:borders count="1">
    <x:border/>
  </x:borders>
  <x:cellStyleXfs count="1">
    <x:xf numFmtId="0" fontId="0" fillId="0" borderId="0"/>
  </x:cellStyleXfs>
  <x:cellXfs count="7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200" fontId="4" fillId="2"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0" xfId="0" applyNumberFormat="1" applyFont="1" applyFill="1" applyBorder="1" applyAlignment="1">
      <x:alignment vertical="center" wrapText="1"/>
    </x:xf>
    <x:xf numFmtId="0" fontId="5" fillId="3"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200" fontId="1" fillId="2"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2" borderId="0" xfId="0" applyNumberFormat="1" applyFont="1" applyFill="1" applyBorder="1" applyAlignment="1">
      <x:alignment vertical="center" wrapText="1"/>
    </x:xf>
    <x:xf numFmtId="0" fontId="6" fillId="0" borderId="0" xfId="0" applyNumberFormat="1" applyFont="1" applyFill="1" applyBorder="1" applyAlignment="1">
      <x:alignment vertical="center"/>
    </x:xf>
    <x:xf numFmtId="0" fontId="7" fillId="0" borderId="0" xfId="0" applyNumberFormat="1" applyFont="1" applyFill="1" applyBorder="1"/>
    <x:xf numFmtId="0" fontId="3" fillId="0" borderId="0"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vertical="top" wrapText="0"/>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9" fillId="0"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0" fontId="8" fillId="10" borderId="0" xfId="0" applyNumberFormat="1" applyFont="1" applyFill="1" applyBorder="1" applyAlignment="1">
      <x:alignment vertical="top" wrapText="1"/>
    </x:xf>
    <x:xf numFmtId="201" fontId="8" fillId="10" borderId="0"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wrapText="1"/>
    </x:xf>
    <x:xf numFmtId="0" fontId="5" fillId="13" borderId="0" xfId="0" applyNumberFormat="1" applyFont="1" applyFill="1" applyBorder="1" applyAlignment="1">
      <x:alignment vertical="center" wrapText="1"/>
    </x:xf>
    <x:xf numFmtId="0" fontId="8" fillId="0" borderId="0" xfId="0" applyNumberFormat="1" applyFont="1" applyFill="1" applyBorder="1" applyAlignment="1">
      <x:alignment vertical="top" wrapText="0"/>
    </x:xf>
    <x:xf numFmtId="0" fontId="8" fillId="2" borderId="0" xfId="0" applyNumberFormat="1" applyFont="1" applyFill="1" applyBorder="1" applyAlignment="1">
      <x:alignment vertical="center" wrapText="1"/>
    </x:xf>
    <x:xf numFmtId="0" fontId="8" fillId="2" borderId="0" xfId="0" applyNumberFormat="1" applyFont="1" applyFill="1" applyBorder="1" applyAlignment="1">
      <x:alignment horizontal="center" vertical="center" wrapText="1"/>
    </x:xf>
    <x:xf numFmtId="0" fontId="2" fillId="0" borderId="0" xfId="0" applyNumberFormat="1" applyFont="1" applyFill="1" applyBorder="1"/>
    <x:xf numFmtId="0" fontId="8" fillId="14" borderId="0" xfId="0" applyNumberFormat="1" applyFont="1" applyFill="1" applyBorder="1"/>
    <x:xf numFmtId="0" fontId="5" fillId="14" borderId="0" xfId="0" applyNumberFormat="1" applyFont="1" applyFill="1" applyBorder="1"/>
    <x:xf numFmtId="0" fontId="5" fillId="14" borderId="0" xfId="0" applyNumberFormat="1" applyFont="1" applyFill="1" applyBorder="1" applyAlignment="1">
      <x:alignment wrapText="1"/>
    </x:xf>
    <x:xf numFmtId="0" fontId="5" fillId="14" borderId="0" xfId="0" applyNumberFormat="1" applyFont="1" applyFill="1" applyBorder="1" applyAlignment="1">
      <x:alignment horizontal="center" wrapText="1"/>
    </x:xf>
    <x:xf numFmtId="0" fontId="5" fillId="14" borderId="0" xfId="0" applyNumberFormat="1" applyFont="1" applyFill="1" applyBorder="1" applyAlignment="1">
      <x:alignment horizontal="center" vertical="center" wrapText="1"/>
    </x:xf>
    <x:xf numFmtId="0" fontId="8" fillId="15" borderId="0" xfId="0" applyNumberFormat="1" applyFont="1" applyFill="1" applyBorder="1"/>
    <x:xf numFmtId="0" fontId="4" fillId="15" borderId="0" xfId="0" applyNumberFormat="1" applyFont="1" applyFill="1" applyBorder="1"/>
    <x:xf numFmtId="0" fontId="4" fillId="15" borderId="0" xfId="0" applyNumberFormat="1" applyFont="1" applyFill="1" applyBorder="1" applyAlignment="1">
      <x:alignment wrapText="1"/>
    </x:xf>
    <x:xf numFmtId="0" fontId="6" fillId="0" borderId="0" xfId="0" applyNumberFormat="1" applyFont="1" applyFill="1" applyBorder="1"/>
    <x:xf numFmtId="0" fontId="6" fillId="0" borderId="0" xfId="0" applyNumberFormat="1" applyFont="1" applyFill="1" applyBorder="1" applyAlignment="1">
      <x:alignment wrapText="0"/>
    </x:xf>
    <x:xf numFmtId="0" fontId="8" fillId="16" borderId="0" xfId="0" applyNumberFormat="1" applyFont="1" applyFill="1" applyBorder="1" applyAlignment="1">
      <x:alignment vertical="top" wrapText="1"/>
    </x:xf>
    <x:xf numFmtId="0" fontId="8" fillId="17" borderId="0" xfId="0" applyNumberFormat="1" applyFont="1" applyFill="1" applyBorder="1" applyAlignment="1">
      <x:alignment vertical="top" wrapText="1"/>
    </x:xf>
    <x:xf numFmtId="0" fontId="8" fillId="18" borderId="0" xfId="0" applyNumberFormat="1" applyFont="1" applyFill="1" applyBorder="1" applyAlignment="1">
      <x:alignment vertical="top" wrapText="1"/>
    </x:xf>
    <x:xf numFmtId="0" fontId="8" fillId="19" borderId="0" xfId="0" applyNumberFormat="1" applyFont="1" applyFill="1" applyBorder="1" applyAlignment="1">
      <x:alignment vertical="top" wrapText="1"/>
    </x:xf>
    <x:xf numFmtId="0" fontId="8" fillId="20" borderId="0" xfId="0" applyNumberFormat="1" applyFont="1" applyFill="1" applyBorder="1" applyAlignment="1">
      <x:alignment vertical="top" wrapText="1"/>
    </x:xf>
    <x:xf numFmtId="202" fontId="8" fillId="0" borderId="0" xfId="0" applyNumberFormat="1" applyFont="1" applyFill="1" applyBorder="1" applyAlignment="1">
      <x:alignment vertical="center" wrapText="1"/>
    </x:xf>
    <x:xf numFmtId="0" fontId="8" fillId="21" borderId="0" xfId="0" applyNumberFormat="1" applyFont="1" applyFill="1" applyBorder="1" applyAlignment="1">
      <x:alignment vertical="top" wrapText="1"/>
    </x:xf>
    <x:xf numFmtId="0" fontId="8" fillId="22" borderId="0" xfId="0" applyNumberFormat="1" applyFont="1" applyFill="1" applyBorder="1" applyAlignment="1">
      <x:alignment vertical="top" wrapText="1"/>
    </x:xf>
    <x:xf numFmtId="0" fontId="8" fillId="23" borderId="0" xfId="0" applyNumberFormat="1" applyFont="1" applyFill="1" applyBorder="1" applyAlignment="1">
      <x:alignment vertical="top" wrapText="1"/>
    </x:xf>
    <x:xf numFmtId="0" fontId="8" fillId="24" borderId="0" xfId="0" applyNumberFormat="1" applyFont="1" applyFill="1" applyBorder="1"/>
    <x:xf numFmtId="0" fontId="5" fillId="24" borderId="0" xfId="0" applyNumberFormat="1" applyFont="1" applyFill="1" applyBorder="1"/>
    <x:xf numFmtId="0" fontId="5" fillId="24" borderId="0" xfId="0" applyNumberFormat="1" applyFont="1" applyFill="1" applyBorder="1" applyAlignment="1">
      <x:alignment wrapText="1"/>
    </x:xf>
    <x:xf numFmtId="201" fontId="8" fillId="0" borderId="0" xfId="0" applyNumberFormat="1" applyFont="1" applyFill="1" applyBorder="1" applyAlignment="1">
      <x:alignment vertical="center" wrapText="1"/>
    </x:xf>
  </x:cellXfs>
  <x:cellStyles count="1">
    <x:cellStyle name="Normal" xfId="0"/>
  </x:cellStyles>
  <x:dxfs count="3">
    <x:dxf>
      <x:font>
        <x:color rgb="FF9C1C1C"/>
      </x:font>
      <x:fill>
        <x:patternFill>
          <x:bgColor rgb="FFFCE5E5"/>
        </x:patternFill>
      </x:fill>
    </x:dxf>
    <x:dxf>
      <x:font>
        <x:color rgb="FF744000"/>
      </x:font>
      <x:fill>
        <x:patternFill>
          <x:bgColor rgb="FFFFE2BC"/>
        </x:patternFill>
      </x:fill>
    </x:dxf>
    <x:dxf>
      <x:fill>
        <x:patternFill>
          <x:bgColor rgb="FFE2EF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5c54be6a184c13" /><Relationship Type="http://schemas.openxmlformats.org/officeDocument/2006/relationships/theme" Target="/xl/theme/theme1.xml" Id="R2e7e1cb2bea94fbc" /><Relationship Type="http://schemas.openxmlformats.org/officeDocument/2006/relationships/sharedStrings" Target="/xl/sharedStrings.xml" Id="Rf1fb29f502b74ac6" /><Relationship Type="http://schemas.openxmlformats.org/officeDocument/2006/relationships/worksheet" Target="/xl/worksheets/sheet1.xml" Id="R97b941e41eb343e6" /><Relationship Type="http://schemas.openxmlformats.org/officeDocument/2006/relationships/worksheet" Target="/xl/worksheets/sheet2.xml" Id="R882cb96bcd1e4f23" /><Relationship Type="http://schemas.openxmlformats.org/officeDocument/2006/relationships/worksheet" Target="/xl/worksheets/sheet3.xml" Id="R29399c5ba672408d" /><Relationship Type="http://schemas.openxmlformats.org/officeDocument/2006/relationships/worksheet" Target="/xl/worksheets/sheet4.xml" Id="Rac0da574a1af4425" /><Relationship Type="http://schemas.openxmlformats.org/officeDocument/2006/relationships/worksheet" Target="/xl/worksheets/sheet5.xml" Id="R6cd2bb449d14423b" /><Relationship Type="http://schemas.openxmlformats.org/officeDocument/2006/relationships/worksheet" Target="/xl/worksheets/sheet6.xml" Id="Rda2bae3d43a9411b" /></Relationships>
</file>

<file path=xl/tables/table1.xml><?xml version="1.0" encoding="utf-8"?>
<x:table xmlns:x="http://schemas.openxmlformats.org/spreadsheetml/2006/main" id="1" name="LabShopping" displayName="LabShopping" ref="A14:J80" headerRowCount="1" totalsRowCount="0" totalsRowShown="0">
  <x:autoFilter ref="A14:J80"/>
  <x:tableColumns count="10">
    <x:tableColumn id="1" name="Category"/>
    <x:tableColumn id="2" name="Item"/>
    <x:tableColumn id="3" name="Qty to buy"/>
    <x:tableColumn id="4" name="Unit / pack"/>
    <x:tableColumn id="5" name="Specification"/>
    <x:tableColumn id="6" name="Allowance / unit (ILS)"/>
    <x:tableColumn id="7" name="Line budget (ILS)"/>
    <x:tableColumn id="8" name="Status"/>
    <x:tableColumn id="9" name="Buy from"/>
    <x:tableColumn id="10" name="Price basis"/>
  </x:tableColumns>
  <x:tableStyleInfo name="TableStyleLight9" showFirstColumn="0" showLastColumn="0" showRowStripes="1" showColumnStripes="0"/>
</x:table>
</file>

<file path=xl/tables/table2.xml><?xml version="1.0" encoding="utf-8"?>
<x:table xmlns:x="http://schemas.openxmlformats.org/spreadsheetml/2006/main" id="2" name="ProjectPurchases" displayName="ProjectPurchases" ref="A6:E28" headerRowCount="1" totalsRowCount="0" totalsRowShown="0">
  <x:autoFilter ref="A6:E28"/>
  <x:tableColumns count="5">
    <x:tableColumn id="1" name="Area"/>
    <x:tableColumn id="2" name="Item / decision"/>
    <x:tableColumn id="3" name="Specification or prerequisite"/>
    <x:tableColumn id="4" name="When"/>
    <x:tableColumn id="5" name="Budget treatment"/>
  </x:tableColumns>
  <x:tableStyleInfo name="TableStyleLight9" showFirstColumn="0" showLastColumn="0" showRowStripes="1" showColumnStripes="0"/>
</x:table>
</file>

<file path=xl/tables/table3.xml><?xml version="1.0" encoding="utf-8"?>
<x:table xmlns:x="http://schemas.openxmlformats.org/spreadsheetml/2006/main" id="3" name="ProductResearch" displayName="ProductResearch" ref="A11:N99" headerRowCount="1" totalsRowCount="0" totalsRowShown="0">
  <x:autoFilter ref="A11:N99"/>
  <x:tableColumns count="14">
    <x:tableColumn id="1" name="ID"/>
    <x:tableColumn id="2" name="Group"/>
    <x:tableColumn id="3" name="Shopping item"/>
    <x:tableColumn id="4" name="Recommended choice"/>
    <x:tableColumn id="5" name="Timing"/>
    <x:tableColumn id="6" name="Quantity / coverage"/>
    <x:tableColumn id="7" name="Why this choice"/>
    <x:tableColumn id="8" name="Compatibility / decision before ordering"/>
    <x:tableColumn id="9" name="Alternative"/>
    <x:tableColumn id="10" name="Observed price / exclusions"/>
    <x:tableColumn id="11" name="Seller / availability"/>
    <x:tableColumn id="12" name="Product / source URL"/>
    <x:tableColumn id="13" name="Alternative / supporting URL"/>
    <x:tableColumn id="14" name="Checked"/>
  </x:tableColumns>
  <x:tableStyleInfo name="TableStyleLight9" showFirstColumn="0" showLastColumn="0" showRowStripes="1" showColumnStripes="0"/>
</x:table>
</file>

<file path=xl/tables/table4.xml><?xml version="1.0" encoding="utf-8"?>
<x:table xmlns:x="http://schemas.openxmlformats.org/spreadsheetml/2006/main" id="4" name="RecommendedSummary" displayName="RecommendedSummary" ref="A6:F12" headerRowCount="1" totalsRowCount="0" totalsRowShown="0">
  <x:tableColumns count="6">
    <x:tableColumn id="1" name="Area"/>
    <x:tableColumn id="2" name="Leading choice"/>
    <x:tableColumn id="3" name="Buy when"/>
    <x:tableColumn id="4" name="Why / next action"/>
    <x:tableColumn id="5" name="Price treatment"/>
    <x:tableColumn id="6" name="Research IDs"/>
  </x:tableColumns>
  <x:tableStyleInfo name="TableStyleLight9" showFirstColumn="0" showLastColumn="0" showRowStripes="1" showColumnStripes="0"/>
</x:table>
</file>

<file path=xl/tables/table5.xml><?xml version="1.0" encoding="utf-8"?>
<x:table xmlns:x="http://schemas.openxmlformats.org/spreadsheetml/2006/main" id="5" name="OwnedInventory" displayName="OwnedInventory" ref="A24:F32" headerRowCount="1" totalsRowCount="0" totalsRowShown="0">
  <x:tableColumns count="6">
    <x:tableColumn id="1" name="Category"/>
    <x:tableColumn id="2" name="Exact model / marking"/>
    <x:tableColumn id="3" name="Quantity owned"/>
    <x:tableColumn id="4" name="Supply voltage / logic level"/>
    <x:tableColumn id="5" name="Connector / pinout"/>
    <x:tableColumn id="6" name="Notes / photo reference"/>
  </x:tableColumns>
  <x:tableStyleInfo name="TableStyleLight9" showFirstColumn="0" showLastColumn="0" showRowStripes="1" showColumnStripes="0"/>
</x:table>
</file>

<file path=xl/tables/table6.xml><?xml version="1.0" encoding="utf-8"?>
<x:table xmlns:x="http://schemas.openxmlformats.org/spreadsheetml/2006/main" id="8" name="P2SChecklist" displayName="P2SChecklist" ref="A45:F60" headerRowCount="1" totalsRowCount="0" totalsRowShown="0">
  <x:tableColumns count="6">
    <x:tableColumn id="1" name="Item"/>
    <x:tableColumn id="2" name="Selected specification"/>
    <x:tableColumn id="3" name="Buy now qty"/>
    <x:tableColumn id="4" name="Unit"/>
    <x:tableColumn id="5" name="Decision"/>
    <x:tableColumn id="6" name="Reference IDs"/>
  </x:tableColumns>
  <x:tableStyleInfo name="TableStyleLight9" showFirstColumn="0" showLastColumn="0" showRowStripes="1" showColumnStripes="0"/>
</x:table>
</file>

<file path=xl/tables/table7.xml><?xml version="1.0" encoding="utf-8"?>
<x:table xmlns:x="http://schemas.openxmlformats.org/spreadsheetml/2006/main" id="6" name="ElectronicsCandidates" displayName="ElectronicsCandidates" ref="A23:L42" headerRowCount="1" totalsRowCount="0" totalsRowShown="0">
  <x:tableColumns count="12">
    <x:tableColumn id="1" name="ID"/>
    <x:tableColumn id="2" name="Group"/>
    <x:tableColumn id="3" name="Recommended product / package"/>
    <x:tableColumn id="4" name="Reference quantity"/>
    <x:tableColumn id="5" name="Initial order qty"/>
    <x:tableColumn id="6" name="Decision"/>
    <x:tableColumn id="7" name="What it enables"/>
    <x:tableColumn id="8" name="Compatibility / completion"/>
    <x:tableColumn id="9" name="Observed prices / exclusions"/>
    <x:tableColumn id="10" name="Alternative"/>
    <x:tableColumn id="11" name="Technical source"/>
    <x:tableColumn id="12" name="Buying link / other sources"/>
  </x:tableColumns>
  <x:tableStyleInfo name="TableStyleLight9" showFirstColumn="0" showLastColumn="0" showRowStripes="1" showColumnStripes="0"/>
</x:table>
</file>

<file path=xl/tables/table8.xml><?xml version="1.0" encoding="utf-8"?>
<x:table xmlns:x="http://schemas.openxmlformats.org/spreadsheetml/2006/main" id="7" name="FullItemComparison" displayName="FullItemComparison" ref="A8:L123" headerRowCount="1" totalsRowCount="0" totalsRowShown="0">
  <x:tableColumns count="12">
    <x:tableColumn id="1" name="ID"/>
    <x:tableColumn id="2" name="Item"/>
    <x:tableColumn id="3" name="Previous suggestion"/>
    <x:tableColumn id="4" name="Latest value choice / option"/>
    <x:tableColumn id="5" name="Decision"/>
    <x:tableColumn id="6" name="Tradeoff and current recommendation"/>
    <x:tableColumn id="7" name="Previous price / exclusions"/>
    <x:tableColumn id="8" name="Latest price / exclusions"/>
    <x:tableColumn id="9" name="Other previous suggestions"/>
    <x:tableColumn id="10" name="Previous timing"/>
    <x:tableColumn id="11" name="Quantity / purchase dependency"/>
    <x:tableColumn id="12" name="Group"/>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0839d675e1b4e75" /></Relationships>
</file>

<file path=xl/worksheets/_rels/sheet2.xml.rels>&#65279;<?xml version="1.0" encoding="utf-8"?><Relationships xmlns="http://schemas.openxmlformats.org/package/2006/relationships"><Relationship Type="http://schemas.openxmlformats.org/officeDocument/2006/relationships/table" Target="/xl/tables/table2.xml" Id="Rac53de773a0c4af1" /></Relationships>
</file>

<file path=xl/worksheets/_rels/sheet3.xml.rels>&#65279;<?xml version="1.0" encoding="utf-8"?><Relationships xmlns="http://schemas.openxmlformats.org/package/2006/relationships"><Relationship Type="http://schemas.openxmlformats.org/officeDocument/2006/relationships/table" Target="/xl/tables/table3.xml" Id="R23ec2c1b1a474860" /></Relationships>
</file>

<file path=xl/worksheets/_rels/sheet4.xml.rels>&#65279;<?xml version="1.0" encoding="utf-8"?><Relationships xmlns="http://schemas.openxmlformats.org/package/2006/relationships"><Relationship Type="http://schemas.openxmlformats.org/officeDocument/2006/relationships/table" Target="/xl/tables/table4.xml" Id="R5d6d5e2cd82b4624" /><Relationship Type="http://schemas.openxmlformats.org/officeDocument/2006/relationships/table" Target="/xl/tables/table5.xml" Id="R10f89360f22a4278" /><Relationship Type="http://schemas.openxmlformats.org/officeDocument/2006/relationships/table" Target="/xl/tables/table6.xml" Id="R6ecc0504034a48da" /></Relationships>
</file>

<file path=xl/worksheets/_rels/sheet5.xml.rels>&#65279;<?xml version="1.0" encoding="utf-8"?><Relationships xmlns="http://schemas.openxmlformats.org/package/2006/relationships"><Relationship Type="http://schemas.openxmlformats.org/officeDocument/2006/relationships/table" Target="/xl/tables/table7.xml" Id="Rc855e4dea40e45a5" /></Relationships>
</file>

<file path=xl/worksheets/_rels/sheet6.xml.rels>&#65279;<?xml version="1.0" encoding="utf-8"?><Relationships xmlns="http://schemas.openxmlformats.org/package/2006/relationships"><Relationship Type="http://schemas.openxmlformats.org/officeDocument/2006/relationships/table" Target="/xl/tables/table8.xml" Id="Re96465fd08544f30" /></Relationships>
</file>

<file path=xl/worksheets/sheet1.xml><?xml version="1.0" encoding="utf-8"?>
<x:worksheet xmlns:x="http://schemas.openxmlformats.org/spreadsheetml/2006/main">
  <x:sheetPr>
    <x:tabColor rgb="FF244A69"/>
  </x:sheetPr>
  <x:sheetViews>
    <x:sheetView showGridLines="0" workbookViewId="0">
      <x:pane xSplit="2" ySplit="14" topLeftCell="C15" activePane="bottomRight" state="frozen"/>
    </x:sheetView>
  </x:sheetViews>
  <x:sheetFormatPr defaultRowHeight="15"/>
  <x:cols>
    <x:col min="1" max="1" width="19" hidden="0" customWidth="1"/>
    <x:col min="2" max="2" width="29" hidden="0" customWidth="1"/>
    <x:col min="3" max="3" width="10" hidden="0" customWidth="1"/>
    <x:col min="4" max="4" width="17" hidden="0" customWidth="1"/>
    <x:col min="5" max="5" width="64" hidden="0" customWidth="1"/>
    <x:col min="6" max="6" width="15" hidden="0" customWidth="1"/>
    <x:col min="7" max="7" width="15" hidden="0" customWidth="1"/>
    <x:col min="8" max="8" width="18" hidden="0" customWidth="1"/>
    <x:col min="9" max="9" width="23" hidden="0" customWidth="1"/>
    <x:col min="10" max="10" width="29" hidden="0" customWidth="1"/>
    <x:col min="11" max="11" width="3" hidden="0" customWidth="1"/>
    <x:col min="12" max="12" width="95" hidden="0" customWidth="1"/>
    <x:col min="13" max="13" width="14" hidden="0" customWidth="1"/>
  </x:cols>
  <x:sheetData>
    <x:row r="1">
      <x:c r="A1" s="2"/>
      <x:c r="B1" s="2"/>
      <x:c r="C1" s="2"/>
      <x:c r="D1" s="2"/>
      <x:c r="E1" s="2"/>
      <x:c r="F1" s="2"/>
      <x:c r="G1" s="2"/>
      <x:c r="H1" s="2"/>
      <x:c r="I1" s="2"/>
      <x:c r="J1" s="2"/>
      <x:c r="K1" s="2"/>
      <x:c r="L1" s="2"/>
      <x:c r="M1" s="2"/>
    </x:row>
    <x:row r="2">
      <x:c r="A2" s="3" t="str">
        <x:v>Home lab shopping list</x:v>
      </x:c>
      <x:c r="B2" s="2"/>
      <x:c r="C2" s="2"/>
      <x:c r="D2" s="2"/>
      <x:c r="E2" s="2"/>
      <x:c r="F2" s="2"/>
      <x:c r="G2" s="2"/>
      <x:c r="H2" s="2"/>
      <x:c r="I2" s="2"/>
      <x:c r="J2" s="2"/>
      <x:c r="K2" s="2"/>
      <x:c r="L2" s="2"/>
      <x:c r="M2" s="2"/>
    </x:row>
    <x:row r="3">
      <x:c r="A3" s="4" t="str">
        <x:v>Selected 29 Sep 2026: Bambu P2S Combo with AMS 2 Pro. Printer quantities updated; see Start here for the complete printer checklist.</x:v>
      </x:c>
      <x:c r="B3" s="2"/>
      <x:c r="C3" s="2"/>
      <x:c r="D3" s="2"/>
      <x:c r="E3" s="2"/>
      <x:c r="F3" s="2"/>
      <x:c r="G3" s="2"/>
      <x:c r="H3" s="2"/>
      <x:c r="I3" s="2"/>
      <x:c r="J3" s="2"/>
      <x:c r="K3" s="2"/>
      <x:c r="L3" s="2"/>
      <x:c r="M3" s="2"/>
    </x:row>
    <x:row r="4">
      <x:c r="A4" s="4" t="str">
        <x:v>Edit amber quantity, allowance and status cells. Set Owned or Skip to remove a line from the budget.</x:v>
      </x:c>
      <x:c r="B4" s="2"/>
      <x:c r="C4" s="2"/>
      <x:c r="D4" s="2"/>
      <x:c r="E4" s="2"/>
      <x:c r="F4" s="2"/>
      <x:c r="G4" s="2"/>
      <x:c r="H4" s="2"/>
      <x:c r="I4" s="2"/>
      <x:c r="J4" s="2"/>
      <x:c r="K4" s="2"/>
      <x:c r="L4" s="2"/>
      <x:c r="M4" s="2"/>
    </x:row>
    <x:row r="5">
      <x:c r="A5" s="4" t="str">
        <x:v>Core allowance with selected printer quantities. Other original allowances remain; electronics additions, shipping and unquoted installation are excluded.</x:v>
      </x:c>
      <x:c r="B5" s="2"/>
      <x:c r="C5" s="2"/>
      <x:c r="D5" s="2"/>
      <x:c r="E5" s="2"/>
      <x:c r="F5" s="2"/>
      <x:c r="G5" s="2"/>
      <x:c r="H5" s="2"/>
      <x:c r="I5" s="2"/>
      <x:c r="J5" s="2"/>
      <x:c r="K5" s="2"/>
      <x:c r="L5" s="2"/>
      <x:c r="M5" s="2"/>
    </x:row>
    <x:row r="6">
      <x:c r="A6" s="4" t="str">
        <x:v>Shipping, import charges, furniture, printer ventilation and extraction installation are not included.</x:v>
      </x:c>
      <x:c r="B6" s="2"/>
      <x:c r="C6" s="2"/>
      <x:c r="D6" s="2"/>
      <x:c r="E6" s="2"/>
      <x:c r="F6" s="2"/>
      <x:c r="G6" s="2"/>
      <x:c r="H6" s="2"/>
      <x:c r="I6" s="2"/>
      <x:c r="J6" s="2"/>
      <x:c r="K6" s="2"/>
      <x:c r="L6" s="2"/>
      <x:c r="M6" s="2"/>
    </x:row>
    <x:row r="7">
      <x:c r="A7" s="4" t="str">
        <x:v>Use supplied textured PEI, hardened gears/hotend and included maintenance spares. Separate dryer and optional filament are not in the first order.</x:v>
      </x:c>
      <x:c r="B7" s="2"/>
      <x:c r="C7" s="2"/>
      <x:c r="D7" s="2"/>
      <x:c r="E7" s="2"/>
      <x:c r="F7" s="2"/>
      <x:c r="G7" s="2"/>
      <x:c r="H7" s="2"/>
      <x:c r="I7" s="2"/>
      <x:c r="J7" s="2"/>
      <x:c r="K7" s="2"/>
      <x:c r="L7" s="2"/>
      <x:c r="M7" s="2"/>
    </x:row>
    <x:row r="8">
      <x:c r="A8" s="2"/>
      <x:c r="B8" s="2"/>
      <x:c r="C8" s="2"/>
      <x:c r="D8" s="2"/>
      <x:c r="E8" s="2"/>
      <x:c r="F8" s="2"/>
      <x:c r="G8" s="2"/>
      <x:c r="H8" s="2"/>
      <x:c r="I8" s="2"/>
      <x:c r="J8" s="2"/>
      <x:c r="K8" s="2"/>
      <x:c r="L8" s="2"/>
      <x:c r="M8" s="2"/>
    </x:row>
    <x:row r="9">
      <x:c r="A9" s="5" t="str">
        <x:v>Core plan (ILS)</x:v>
      </x:c>
      <x:c r="B9" s="6" t="n">
        <x:f>SUM(G15:G80)</x:f>
        <x:v>11490</x:v>
      </x:c>
      <x:c r="C9" s="2"/>
      <x:c r="D9" s="2" t="str">
        <x:v>Printing</x:v>
      </x:c>
      <x:c r="E9" s="8" t="n">
        <x:f>SUMIFS(G15:G80,A15:A80,"Printing")</x:f>
        <x:v>4320</x:v>
      </x:c>
      <x:c r="F9" s="2"/>
      <x:c r="G9" s="2"/>
      <x:c r="H9" s="2"/>
      <x:c r="I9" s="2"/>
      <x:c r="J9" s="2"/>
      <x:c r="K9" s="2"/>
      <x:c r="L9" s="2"/>
      <x:c r="M9" s="2"/>
    </x:row>
    <x:row r="10">
      <x:c r="A10" s="5" t="str">
        <x:v>Budget cap (ILS)</x:v>
      </x:c>
      <x:c r="B10" s="7" t="n">
        <x:v>12000</x:v>
      </x:c>
      <x:c r="C10" s="2"/>
      <x:c r="D10" s="2" t="str">
        <x:v>Tools + hardware</x:v>
      </x:c>
      <x:c r="E10" s="8" t="n">
        <x:f>SUMIFS(G15:G80,A15:A80,"Measurement")+SUMIFS(G15:G80,A15:A80,"Mechanical tools")+SUMIFS(G15:G80,A15:A80,"Hardware")</x:f>
        <x:v>2180</x:v>
      </x:c>
      <x:c r="F10" s="2"/>
      <x:c r="G10" s="2"/>
      <x:c r="H10" s="2"/>
      <x:c r="I10" s="2"/>
      <x:c r="J10" s="2"/>
      <x:c r="K10" s="2"/>
      <x:c r="L10" s="2"/>
      <x:c r="M10" s="2"/>
    </x:row>
    <x:row r="11">
      <x:c r="A11" s="5" t="str">
        <x:v>Before additions (ILS)</x:v>
      </x:c>
      <x:c r="B11" s="6" t="n">
        <x:f>B10-B9</x:f>
        <x:v>510</x:v>
      </x:c>
      <x:c r="C11" s="2"/>
      <x:c r="D11" s="2" t="str">
        <x:v>Electronics + supplies</x:v>
      </x:c>
      <x:c r="E11" s="8" t="n">
        <x:f>SUMIFS(G15:G80,A15:A80,"Electronics bench")+SUMIFS(G15:G80,A15:A80,"Connections")+SUMIFS(G15:G80,A15:A80,"Consumables")</x:f>
        <x:v>4410</x:v>
      </x:c>
      <x:c r="F11" s="2"/>
      <x:c r="G11" s="2"/>
      <x:c r="H11" s="2"/>
      <x:c r="I11" s="2"/>
      <x:c r="J11" s="2"/>
      <x:c r="K11" s="2"/>
      <x:c r="L11" s="2"/>
      <x:c r="M11" s="2"/>
    </x:row>
    <x:row r="12">
      <x:c r="A12" s="2" t="str">
        <x:v>Needs exact specs</x:v>
      </x:c>
      <x:c r="B12" s="2" t="n">
        <x:f>COUNTIFS(H15:H80,"Specify")</x:f>
        <x:v>6</x:v>
      </x:c>
      <x:c r="C12" s="2"/>
      <x:c r="D12" s="2" t="str">
        <x:v>Organization</x:v>
      </x:c>
      <x:c r="E12" s="8" t="n">
        <x:f>SUMIFS(G15:G80,A15:A80,"Organization")</x:f>
        <x:v>580</x:v>
      </x:c>
      <x:c r="F12" s="2"/>
      <x:c r="G12" s="2"/>
      <x:c r="H12" s="2"/>
      <x:c r="I12" s="2"/>
      <x:c r="J12" s="2"/>
      <x:c r="K12" s="2"/>
      <x:c r="L12" s="2"/>
      <x:c r="M12" s="2"/>
    </x:row>
    <x:row r="13">
      <x:c r="A13" s="2"/>
      <x:c r="B13" s="2"/>
      <x:c r="C13" s="2"/>
      <x:c r="D13" s="2"/>
      <x:c r="E13" s="2"/>
      <x:c r="F13" s="2"/>
      <x:c r="G13" s="2"/>
      <x:c r="H13" s="2"/>
      <x:c r="I13" s="2"/>
      <x:c r="J13" s="2"/>
      <x:c r="K13" s="2"/>
      <x:c r="L13" s="2"/>
      <x:c r="M13" s="2"/>
    </x:row>
    <x:row r="14" ht="36" customHeight="1">
      <x:c r="A14" s="12" t="str">
        <x:v>Category</x:v>
      </x:c>
      <x:c r="B14" s="12" t="str">
        <x:v>Item</x:v>
      </x:c>
      <x:c r="C14" s="12" t="str">
        <x:v>Qty to buy</x:v>
      </x:c>
      <x:c r="D14" s="12" t="str">
        <x:v>Unit / pack</x:v>
      </x:c>
      <x:c r="E14" s="12" t="str">
        <x:v>Specification</x:v>
      </x:c>
      <x:c r="F14" s="12" t="str">
        <x:v>Allowance / unit (ILS)</x:v>
      </x:c>
      <x:c r="G14" s="12" t="str">
        <x:v>Line budget (ILS)</x:v>
      </x:c>
      <x:c r="H14" s="12" t="str">
        <x:v>Status</x:v>
      </x:c>
      <x:c r="I14" s="12" t="str">
        <x:v>Buy from</x:v>
      </x:c>
      <x:c r="J14" s="12" t="str">
        <x:v>Price basis</x:v>
      </x:c>
      <x:c r="K14" s="2"/>
      <x:c r="L14" s="2" t="str">
        <x:v>Reference / supplier URL</x:v>
      </x:c>
      <x:c r="M14" s="24" t="str">
        <x:v>Research ID</x:v>
      </x:c>
    </x:row>
    <x:row r="15" ht="48" customHeight="1">
      <x:c r="A15" s="13" t="str">
        <x:v>Printing</x:v>
      </x:c>
      <x:c r="B15" s="13" t="str">
        <x:v>Bambu Lab P2S Combo</x:v>
      </x:c>
      <x:c r="C15" s="17" t="n">
        <x:v>1</x:v>
      </x:c>
      <x:c r="D15" s="13" t="str">
        <x:v>bundle</x:v>
      </x:c>
      <x:c r="E15" s="13" t="str">
        <x:v>Selected: P2S + AMS 2 Pro. Use included drying, hardened 0.4 mm hotend, hardened gears and textured PEI. Not yet purchased.</x:v>
      </x:c>
      <x:c r="F15" s="15" t="n">
        <x:v>3890</x:v>
      </x:c>
      <x:c r="G15" s="16" t="n">
        <x:f>IF(OR(H15="Owned",H15="Skip"),0,C15*F15)</x:f>
        <x:v>3890</x:v>
      </x:c>
      <x:c r="H15" s="14" t="str">
        <x:v>Plan</x:v>
      </x:c>
      <x:c r="I15" s="13" t="str">
        <x:v>Israeli retailer</x:v>
      </x:c>
      <x:c r="J15" s="13" t="str">
        <x:v>BUG listing 29 Sep 2026; offer to 1 Oct / stock</x:v>
      </x:c>
      <x:c r="K15" s="2" t="str"/>
      <x:c r="L15" s="18" t="str">
        <x:v>https://www.bug.co.il/brand/bambulab/p2s/ams2/pro/combo</x:v>
      </x:c>
      <x:c r="M15" s="2" t="str">
        <x:v>1</x:v>
      </x:c>
    </x:row>
    <x:row r="16" ht="48" customHeight="1">
      <x:c r="A16" s="13" t="str">
        <x:v>Printing</x:v>
      </x:c>
      <x:c r="B16" s="13" t="str">
        <x:v>PLA filament</x:v>
      </x:c>
      <x:c r="C16" s="17" t="n">
        <x:v>2</x:v>
      </x:c>
      <x:c r="D16" s="13" t="str">
        <x:v>1 kg spool</x:v>
      </x:c>
      <x:c r="E16" s="13" t="str">
        <x:v>2 × 1 kg: light-grey PLA Basic plus contrasting Basic or Matte. Use compatible spools; value-brand alternatives in Full comparison.</x:v>
      </x:c>
      <x:c r="F16" s="15" t="n">
        <x:v>100</x:v>
      </x:c>
      <x:c r="G16" s="16" t="n">
        <x:f>IF(OR(H16="Owned",H16="Skip"),0,C16*F16)</x:f>
        <x:v>200</x:v>
      </x:c>
      <x:c r="H16" s="14" t="str">
        <x:v>Plan</x:v>
      </x:c>
      <x:c r="I16" s="13" t="str">
        <x:v>Local or online</x:v>
      </x:c>
      <x:c r="J16" s="13" t="str">
        <x:v>Planning allowance</x:v>
      </x:c>
      <x:c r="K16" s="2" t="str"/>
      <x:c r="L16" s="18" t="str">
        <x:v>https://www.bug.co.il/brand/bambulab/cocoabrown/pla/basic</x:v>
      </x:c>
      <x:c r="M16" s="2" t="str">
        <x:v>2</x:v>
      </x:c>
    </x:row>
    <x:row r="17" ht="48" customHeight="1">
      <x:c r="A17" s="13" t="str">
        <x:v>Printing</x:v>
      </x:c>
      <x:c r="B17" s="13" t="str">
        <x:v>PETG filament</x:v>
      </x:c>
      <x:c r="C17" s="17" t="n">
        <x:v>1</x:v>
      </x:c>
      <x:c r="D17" s="13" t="str">
        <x:v>1 kg spool</x:v>
      </x:c>
      <x:c r="E17" s="13" t="str">
        <x:v>1 × 1 kg standard PETG initially. Dry according to filament maker; add more after testing.</x:v>
      </x:c>
      <x:c r="F17" s="15" t="n">
        <x:v>110</x:v>
      </x:c>
      <x:c r="G17" s="16" t="n">
        <x:f>IF(OR(H17="Owned",H17="Skip"),0,C17*F17)</x:f>
        <x:v>110</x:v>
      </x:c>
      <x:c r="H17" s="14" t="str">
        <x:v>Plan</x:v>
      </x:c>
      <x:c r="I17" s="13" t="str">
        <x:v>Local or online</x:v>
      </x:c>
      <x:c r="J17" s="13" t="str">
        <x:v>Planning allowance</x:v>
      </x:c>
      <x:c r="K17" s="2" t="str"/>
      <x:c r="L17" s="18" t="str">
        <x:v>https://www.bug.co.il/brand/bambulab/petg/hf/cream</x:v>
      </x:c>
      <x:c r="M17" s="2" t="str">
        <x:v>3</x:v>
      </x:c>
    </x:row>
    <x:row r="18" ht="48" customHeight="1">
      <x:c r="A18" s="13" t="str">
        <x:v>Printing</x:v>
      </x:c>
      <x:c r="B18" s="13" t="str">
        <x:v>Dry storage + desiccant</x:v>
      </x:c>
      <x:c r="C18" s="17" t="n">
        <x:v>1</x:v>
      </x:c>
      <x:c r="D18" s="13" t="str">
        <x:v>set</x:v>
      </x:c>
      <x:c r="E18" s="13" t="str">
        <x:v>Included AMS 2 Pro for loaded spools; sealed bags/boxes for removed rolls. Proposed 500 g cobalt-free indicating silica gel in suitable cartridges/sachets; regenerate per supplier.</x:v>
      </x:c>
      <x:c r="F18" s="15" t="n">
        <x:v>120</x:v>
      </x:c>
      <x:c r="G18" s="16" t="n">
        <x:f>IF(OR(H18="Owned",H18="Skip"),0,C18*F18)</x:f>
        <x:v>120</x:v>
      </x:c>
      <x:c r="H18" s="14" t="str">
        <x:v>Plan</x:v>
      </x:c>
      <x:c r="I18" s="13" t="str">
        <x:v>Local or online</x:v>
      </x:c>
      <x:c r="J18" s="13" t="str">
        <x:v>Planning allowance</x:v>
      </x:c>
      <x:c r="K18" s="2" t="str"/>
      <x:c r="L18" s="18" t="str">
        <x:v>https://bambu-lab-jp.myshopify.com/en/products/ams-2-pro</x:v>
      </x:c>
      <x:c r="M18" s="2" t="str">
        <x:v>4</x:v>
      </x:c>
    </x:row>
    <x:row r="19" ht="48" customHeight="1">
      <x:c r="A19" s="13" t="str">
        <x:v>Printing</x:v>
      </x:c>
      <x:c r="B19" s="13" t="str">
        <x:v>Optional P2S spare 0.4 mm hotend</x:v>
      </x:c>
      <x:c r="C19" s="17" t="n">
        <x:v>0</x:v>
      </x:c>
      <x:c r="D19" s="13" t="str">
        <x:v>unit</x:v>
      </x:c>
      <x:c r="E19" s="13" t="str">
        <x:v>Optional spare: genuine H2/P2S standard-flow 0.4 mm hardened-steel FAH025. Installed hardened hotend already included. P1/A1 parts do not fit.</x:v>
      </x:c>
      <x:c r="F19" s="15" t="n">
        <x:v>150</x:v>
      </x:c>
      <x:c r="G19" s="16" t="n">
        <x:f>IF(OR(H19="Owned",H19="Skip"),0,C19*F19)</x:f>
        <x:v>0</x:v>
      </x:c>
      <x:c r="H19" s="14" t="str">
        <x:v>Skip</x:v>
      </x:c>
      <x:c r="I19" s="13" t="str">
        <x:v>Printer supplier</x:v>
      </x:c>
      <x:c r="J19" s="13" t="str">
        <x:v>Planning allowance</x:v>
      </x:c>
      <x:c r="K19" s="2" t="str"/>
      <x:c r="L19" s="18" t="str">
        <x:v>https://bambu-lab-jp.myshopify.com/en/products/bambu-hotend-h-series</x:v>
      </x:c>
      <x:c r="M19" s="2" t="str">
        <x:v>5</x:v>
      </x:c>
    </x:row>
    <x:row r="20" ht="48" customHeight="1">
      <x:c r="A20" s="13" t="str">
        <x:v>Measurement</x:v>
      </x:c>
      <x:c r="B20" s="13" t="str">
        <x:v>Digital caliper</x:v>
      </x:c>
      <x:c r="C20" s="17" t="n">
        <x:v>1</x:v>
      </x:c>
      <x:c r="D20" s="13" t="str">
        <x:v>unit</x:v>
      </x:c>
      <x:c r="E20" s="13" t="str">
        <x:v>150 mm; metric; inspect zero and repeatability on arrival</x:v>
      </x:c>
      <x:c r="F20" s="15" t="n">
        <x:v>140</x:v>
      </x:c>
      <x:c r="G20" s="16" t="n">
        <x:f>IF(OR(H20="Owned",H20="Skip"),0,C20*F20)</x:f>
        <x:v>140</x:v>
      </x:c>
      <x:c r="H20" s="14" t="str">
        <x:v>Plan</x:v>
      </x:c>
      <x:c r="I20" s="13" t="str">
        <x:v>Local or online</x:v>
      </x:c>
      <x:c r="J20" s="13" t="str">
        <x:v>Planning allowance</x:v>
      </x:c>
      <x:c r="K20" s="2" t="str"/>
      <x:c r="L20" s="18" t="str">
        <x:v>https://igagingshop.com/products/ip54-origincal-absolute-digital-calipers-1</x:v>
      </x:c>
      <x:c r="M20" s="2" t="str">
        <x:v>6</x:v>
      </x:c>
    </x:row>
    <x:row r="21" ht="48" customHeight="1">
      <x:c r="A21" s="13" t="str">
        <x:v>Measurement</x:v>
      </x:c>
      <x:c r="B21" s="13" t="str">
        <x:v>Ruler + small square</x:v>
      </x:c>
      <x:c r="C21" s="17" t="n">
        <x:v>1</x:v>
      </x:c>
      <x:c r="D21" s="13" t="str">
        <x:v>set</x:v>
      </x:c>
      <x:c r="E21" s="13" t="str">
        <x:v>Steel ruler and machinist-style square for layout</x:v>
      </x:c>
      <x:c r="F21" s="15" t="n">
        <x:v>60</x:v>
      </x:c>
      <x:c r="G21" s="16" t="n">
        <x:f>IF(OR(H21="Owned",H21="Skip"),0,C21*F21)</x:f>
        <x:v>60</x:v>
      </x:c>
      <x:c r="H21" s="14" t="str">
        <x:v>Plan</x:v>
      </x:c>
      <x:c r="I21" s="13" t="str">
        <x:v>Local or online</x:v>
      </x:c>
      <x:c r="J21" s="13" t="str">
        <x:v>Planning allowance</x:v>
      </x:c>
      <x:c r="K21" s="2" t="str"/>
      <x:c r="L21" s="18" t="str">
        <x:v>https://www.stanleytools.co.uk/product/0-46-151/300mm-combination-square</x:v>
      </x:c>
      <x:c r="M21" s="2" t="str">
        <x:v>7</x:v>
      </x:c>
    </x:row>
    <x:row r="22" ht="48" customHeight="1">
      <x:c r="A22" s="13" t="str">
        <x:v>Measurement</x:v>
      </x:c>
      <x:c r="B22" s="13" t="str">
        <x:v>Digital scale</x:v>
      </x:c>
      <x:c r="C22" s="17" t="n">
        <x:v>1</x:v>
      </x:c>
      <x:c r="D22" s="13" t="str">
        <x:v>unit</x:v>
      </x:c>
      <x:c r="E22" s="13" t="str">
        <x:v>Capacity for small mechanisms and test masses; ~1 g display resolution is sufficient initially</x:v>
      </x:c>
      <x:c r="F22" s="15" t="n">
        <x:v>70</x:v>
      </x:c>
      <x:c r="G22" s="16" t="n">
        <x:f>IF(OR(H22="Owned",H22="Skip"),0,C22*F22)</x:f>
        <x:v>70</x:v>
      </x:c>
      <x:c r="H22" s="14" t="str">
        <x:v>Check home</x:v>
      </x:c>
      <x:c r="I22" s="13" t="str">
        <x:v>Local or online</x:v>
      </x:c>
      <x:c r="J22" s="13" t="str">
        <x:v>Planning allowance</x:v>
      </x:c>
      <x:c r="K22" s="2" t="str"/>
      <x:c r="L22" s="18" t="str">
        <x:v>https://beurer.co.il/product/bwwks25/</x:v>
      </x:c>
      <x:c r="M22" s="2" t="str">
        <x:v>8</x:v>
      </x:c>
    </x:row>
    <x:row r="23" ht="48" customHeight="1">
      <x:c r="A23" s="13" t="str">
        <x:v>Mechanical tools</x:v>
      </x:c>
      <x:c r="B23" s="13" t="str">
        <x:v>Metric hex drivers</x:v>
      </x:c>
      <x:c r="C23" s="17" t="n">
        <x:v>1</x:v>
      </x:c>
      <x:c r="D23" s="13" t="str">
        <x:v>set</x:v>
      </x:c>
      <x:c r="E23" s="13" t="str">
        <x:v>1.5 / 2 / 2.5 / 3 / 4 mm; verify selected screw heads</x:v>
      </x:c>
      <x:c r="F23" s="15" t="n">
        <x:v>120</x:v>
      </x:c>
      <x:c r="G23" s="16" t="n">
        <x:f>IF(OR(H23="Owned",H23="Skip"),0,C23*F23)</x:f>
        <x:v>120</x:v>
      </x:c>
      <x:c r="H23" s="14" t="str">
        <x:v>Plan</x:v>
      </x:c>
      <x:c r="I23" s="13" t="str">
        <x:v>Local or online</x:v>
      </x:c>
      <x:c r="J23" s="13" t="str">
        <x:v>Planning allowance</x:v>
      </x:c>
      <x:c r="K23" s="2" t="str"/>
      <x:c r="L23" s="18" t="str">
        <x:v>https://www.wera-tools.co.uk/tools/950-9-hex-plus-6-l-key-set-metric-blacklaser</x:v>
      </x:c>
      <x:c r="M23" s="2" t="str">
        <x:v>9</x:v>
      </x:c>
    </x:row>
    <x:row r="24" ht="48" customHeight="1">
      <x:c r="A24" s="13" t="str">
        <x:v>Mechanical tools</x:v>
      </x:c>
      <x:c r="B24" s="13" t="str">
        <x:v>Nut drivers / small spanners</x:v>
      </x:c>
      <x:c r="C24" s="17" t="n">
        <x:v>1</x:v>
      </x:c>
      <x:c r="D24" s="13" t="str">
        <x:v>set</x:v>
      </x:c>
      <x:c r="E24" s="13" t="str">
        <x:v>Sizes matching M2.5/M3/M4 nuts; access inside enclosures</x:v>
      </x:c>
      <x:c r="F24" s="15" t="n">
        <x:v>80</x:v>
      </x:c>
      <x:c r="G24" s="16" t="n">
        <x:f>IF(OR(H24="Owned",H24="Skip"),0,C24*F24)</x:f>
        <x:v>80</x:v>
      </x:c>
      <x:c r="H24" s="14" t="str">
        <x:v>Plan</x:v>
      </x:c>
      <x:c r="I24" s="13" t="str">
        <x:v>Local or online</x:v>
      </x:c>
      <x:c r="J24" s="13" t="str">
        <x:v>Planning allowance</x:v>
      </x:c>
      <x:c r="K24" s="2" t="str"/>
      <x:c r="L24" s="18" t="str">
        <x:v>https://wiha.com/tools/screwdrivers/mechanic-s-screwdrivers/softfinish/hex/screwdriver-softfinish/01078</x:v>
      </x:c>
      <x:c r="M24" s="2" t="str">
        <x:v>10</x:v>
      </x:c>
    </x:row>
    <x:row r="25" ht="48" customHeight="1">
      <x:c r="A25" s="13" t="str">
        <x:v>Mechanical tools</x:v>
      </x:c>
      <x:c r="B25" s="13" t="str">
        <x:v>Screwdriver and bit set</x:v>
      </x:c>
      <x:c r="C25" s="17" t="n">
        <x:v>1</x:v>
      </x:c>
      <x:c r="D25" s="13" t="str">
        <x:v>set</x:v>
      </x:c>
      <x:c r="E25" s="13" t="str">
        <x:v>Phillips, slotted, Torx; include precision sizes</x:v>
      </x:c>
      <x:c r="F25" s="15" t="n">
        <x:v>100</x:v>
      </x:c>
      <x:c r="G25" s="16" t="n">
        <x:f>IF(OR(H25="Owned",H25="Skip"),0,C25*F25)</x:f>
        <x:v>100</x:v>
      </x:c>
      <x:c r="H25" s="14" t="str">
        <x:v>Check home</x:v>
      </x:c>
      <x:c r="I25" s="13" t="str">
        <x:v>Local or online</x:v>
      </x:c>
      <x:c r="J25" s="13" t="str">
        <x:v>Planning allowance</x:v>
      </x:c>
      <x:c r="K25" s="2" t="str"/>
      <x:c r="L25" s="18" t="str">
        <x:v>https://www.ifixit.com/products/mako-driver-kit-64-precision-bits</x:v>
      </x:c>
      <x:c r="M25" s="2" t="str">
        <x:v>11</x:v>
      </x:c>
    </x:row>
    <x:row r="26" ht="48" customHeight="1">
      <x:c r="A26" s="13" t="str">
        <x:v>Mechanical tools</x:v>
      </x:c>
      <x:c r="B26" s="13" t="str">
        <x:v>Needle-nose pliers</x:v>
      </x:c>
      <x:c r="C26" s="17" t="n">
        <x:v>1</x:v>
      </x:c>
      <x:c r="D26" s="13" t="str">
        <x:v>unit</x:v>
      </x:c>
      <x:c r="E26" s="13" t="str">
        <x:v>Small electronics/mechanism size</x:v>
      </x:c>
      <x:c r="F26" s="15" t="n">
        <x:v>60</x:v>
      </x:c>
      <x:c r="G26" s="16" t="n">
        <x:f>IF(OR(H26="Owned",H26="Skip"),0,C26*F26)</x:f>
        <x:v>60</x:v>
      </x:c>
      <x:c r="H26" s="14" t="str">
        <x:v>Check home</x:v>
      </x:c>
      <x:c r="I26" s="13" t="str">
        <x:v>Local or online</x:v>
      </x:c>
      <x:c r="J26" s="13" t="str">
        <x:v>Planning allowance</x:v>
      </x:c>
      <x:c r="K26" s="2" t="str"/>
      <x:c r="L26" s="18" t="str">
        <x:v>https://www.knipex-tools.com/products/long-nose-pliers/long-nose-pliers-with-cutting-edges/long-nose-pliers-cutter-and-awg-stripping-hole/2611200</x:v>
      </x:c>
      <x:c r="M26" s="2" t="str">
        <x:v>12</x:v>
      </x:c>
    </x:row>
    <x:row r="27" ht="48" customHeight="1">
      <x:c r="A27" s="13" t="str">
        <x:v>Mechanical tools</x:v>
      </x:c>
      <x:c r="B27" s="13" t="str">
        <x:v>Flush cutters</x:v>
      </x:c>
      <x:c r="C27" s="17" t="n">
        <x:v>1</x:v>
      </x:c>
      <x:c r="D27" s="13" t="str">
        <x:v>unit</x:v>
      </x:c>
      <x:c r="E27" s="13" t="str">
        <x:v>For wire and print cleanup; not hardened steel hardware</x:v>
      </x:c>
      <x:c r="F27" s="15" t="n">
        <x:v>45</x:v>
      </x:c>
      <x:c r="G27" s="16" t="n">
        <x:f>IF(OR(H27="Owned",H27="Skip"),0,C27*F27)</x:f>
        <x:v>45</x:v>
      </x:c>
      <x:c r="H27" s="14" t="str">
        <x:v>Plan</x:v>
      </x:c>
      <x:c r="I27" s="13" t="str">
        <x:v>Local or online</x:v>
      </x:c>
      <x:c r="J27" s="13" t="str">
        <x:v>Planning allowance</x:v>
      </x:c>
      <x:c r="K27" s="2" t="str"/>
      <x:c r="L27" s="18" t="str">
        <x:v>https://hakkousa.com/chp-170</x:v>
      </x:c>
      <x:c r="M27" s="2" t="str">
        <x:v>13</x:v>
      </x:c>
    </x:row>
    <x:row r="28" ht="48" customHeight="1">
      <x:c r="A28" s="13" t="str">
        <x:v>Mechanical tools</x:v>
      </x:c>
      <x:c r="B28" s="13" t="str">
        <x:v>Tweezers</x:v>
      </x:c>
      <x:c r="C28" s="17" t="n">
        <x:v>1</x:v>
      </x:c>
      <x:c r="D28" s="13" t="str">
        <x:v>set</x:v>
      </x:c>
      <x:c r="E28" s="13" t="str">
        <x:v>Straight and bent tips</x:v>
      </x:c>
      <x:c r="F28" s="15" t="n">
        <x:v>30</x:v>
      </x:c>
      <x:c r="G28" s="16" t="n">
        <x:f>IF(OR(H28="Owned",H28="Skip"),0,C28*F28)</x:f>
        <x:v>30</x:v>
      </x:c>
      <x:c r="H28" s="14" t="str">
        <x:v>Plan</x:v>
      </x:c>
      <x:c r="I28" s="13" t="str">
        <x:v>Local or online</x:v>
      </x:c>
      <x:c r="J28" s="13" t="str">
        <x:v>Planning allowance</x:v>
      </x:c>
      <x:c r="K28" s="2" t="str"/>
      <x:c r="L28" s="18" t="str">
        <x:v>https://www.ifixit.com/products/precision-tweezers-set</x:v>
      </x:c>
      <x:c r="M28" s="2" t="str">
        <x:v>14</x:v>
      </x:c>
    </x:row>
    <x:row r="29" ht="48" customHeight="1">
      <x:c r="A29" s="13" t="str">
        <x:v>Mechanical tools</x:v>
      </x:c>
      <x:c r="B29" s="13" t="str">
        <x:v>Bench vise with soft jaws</x:v>
      </x:c>
      <x:c r="C29" s="17" t="n">
        <x:v>1</x:v>
      </x:c>
      <x:c r="D29" s="13" t="str">
        <x:v>unit</x:v>
      </x:c>
      <x:c r="E29" s="13" t="str">
        <x:v>Compact clamp-on or bolted type compatible with bench</x:v>
      </x:c>
      <x:c r="F29" s="15" t="n">
        <x:v>160</x:v>
      </x:c>
      <x:c r="G29" s="16" t="n">
        <x:f>IF(OR(H29="Owned",H29="Skip"),0,C29*F29)</x:f>
        <x:v>160</x:v>
      </x:c>
      <x:c r="H29" s="14" t="str">
        <x:v>Plan</x:v>
      </x:c>
      <x:c r="I29" s="13" t="str">
        <x:v>Local or online</x:v>
      </x:c>
      <x:c r="J29" s="13" t="str">
        <x:v>Planning allowance</x:v>
      </x:c>
      <x:c r="K29" s="2" t="str"/>
      <x:c r="L29" s="18" t="str">
        <x:v>https://www.tme.com/il/en/details/stl-1-83-069/vices-and-clamps/stanley/1-83-069/</x:v>
      </x:c>
      <x:c r="M29" s="2" t="str">
        <x:v>15</x:v>
      </x:c>
    </x:row>
    <x:row r="30" ht="48" customHeight="1">
      <x:c r="A30" s="13" t="str">
        <x:v>Mechanical tools</x:v>
      </x:c>
      <x:c r="B30" s="13" t="str">
        <x:v>Small clamps</x:v>
      </x:c>
      <x:c r="C30" s="17" t="n">
        <x:v>4</x:v>
      </x:c>
      <x:c r="D30" s="13" t="str">
        <x:v>unit</x:v>
      </x:c>
      <x:c r="E30" s="13" t="str">
        <x:v>Quick or screw clamps; suitable for fixture board and printed parts</x:v>
      </x:c>
      <x:c r="F30" s="15" t="n">
        <x:v>30</x:v>
      </x:c>
      <x:c r="G30" s="16" t="n">
        <x:f>IF(OR(H30="Owned",H30="Skip"),0,C30*F30)</x:f>
        <x:v>120</x:v>
      </x:c>
      <x:c r="H30" s="14" t="str">
        <x:v>Plan</x:v>
      </x:c>
      <x:c r="I30" s="13" t="str">
        <x:v>Local or online</x:v>
      </x:c>
      <x:c r="J30" s="13" t="str">
        <x:v>Planning allowance</x:v>
      </x:c>
      <x:c r="K30" s="2" t="str"/>
      <x:c r="L30" s="18" t="str">
        <x:v>https://bessey.de/en-gb/bessey-tool/products/clamping-tools/one-handed-clamps/one-handed-clamp-ezs</x:v>
      </x:c>
      <x:c r="M30" s="2" t="str">
        <x:v>16</x:v>
      </x:c>
    </x:row>
    <x:row r="31" ht="48" customHeight="1">
      <x:c r="A31" s="13" t="str">
        <x:v>Mechanical tools</x:v>
      </x:c>
      <x:c r="B31" s="13" t="str">
        <x:v>Compact drill / driver</x:v>
      </x:c>
      <x:c r="C31" s="17" t="n">
        <x:v>1</x:v>
      </x:c>
      <x:c r="D31" s="13" t="str">
        <x:v>kit</x:v>
      </x:c>
      <x:c r="E31" s="13" t="str">
        <x:v>Includes battery and charger if cordless; variable speed</x:v>
      </x:c>
      <x:c r="F31" s="15" t="n">
        <x:v>350</x:v>
      </x:c>
      <x:c r="G31" s="16" t="n">
        <x:f>IF(OR(H31="Owned",H31="Skip"),0,C31*F31)</x:f>
        <x:v>350</x:v>
      </x:c>
      <x:c r="H31" s="14" t="str">
        <x:v>Check home</x:v>
      </x:c>
      <x:c r="I31" s="13" t="str">
        <x:v>Local or online</x:v>
      </x:c>
      <x:c r="J31" s="13" t="str">
        <x:v>Planning allowance</x:v>
      </x:c>
      <x:c r="K31" s="2" t="str"/>
      <x:c r="L31" s="18" t="str">
        <x:v>https://www.z-tools.co.il/page_22504</x:v>
      </x:c>
      <x:c r="M31" s="2" t="str">
        <x:v>17</x:v>
      </x:c>
    </x:row>
    <x:row r="32" ht="48" customHeight="1">
      <x:c r="A32" s="13" t="str">
        <x:v>Mechanical tools</x:v>
      </x:c>
      <x:c r="B32" s="13" t="str">
        <x:v>Metric drill bits</x:v>
      </x:c>
      <x:c r="C32" s="17" t="n">
        <x:v>1</x:v>
      </x:c>
      <x:c r="D32" s="13" t="str">
        <x:v>set</x:v>
      </x:c>
      <x:c r="E32" s="13" t="str">
        <x:v>Approximately 1–8 mm, suitable for intended material</x:v>
      </x:c>
      <x:c r="F32" s="15" t="n">
        <x:v>90</x:v>
      </x:c>
      <x:c r="G32" s="16" t="n">
        <x:f>IF(OR(H32="Owned",H32="Skip"),0,C32*F32)</x:f>
        <x:v>90</x:v>
      </x:c>
      <x:c r="H32" s="14" t="str">
        <x:v>Plan</x:v>
      </x:c>
      <x:c r="I32" s="13" t="str">
        <x:v>Local or online</x:v>
      </x:c>
      <x:c r="J32" s="13" t="str">
        <x:v>Planning allowance</x:v>
      </x:c>
      <x:c r="K32" s="2" t="str"/>
      <x:c r="L32" s="18" t="str">
        <x:v>https://il.rsdelivers.com/product/bosch/2608587013/bosch-19-piece-twist-set-for-metal-10-mm-max-1-mm/2360691</x:v>
      </x:c>
      <x:c r="M32" s="2" t="str">
        <x:v>18</x:v>
      </x:c>
    </x:row>
    <x:row r="33" ht="48" customHeight="1">
      <x:c r="A33" s="13" t="str">
        <x:v>Mechanical tools</x:v>
      </x:c>
      <x:c r="B33" s="13" t="str">
        <x:v>Deburring tool</x:v>
      </x:c>
      <x:c r="C33" s="17" t="n">
        <x:v>1</x:v>
      </x:c>
      <x:c r="D33" s="13" t="str">
        <x:v>unit</x:v>
      </x:c>
      <x:c r="E33" s="13" t="str">
        <x:v>Handle plus spare blade</x:v>
      </x:c>
      <x:c r="F33" s="15" t="n">
        <x:v>45</x:v>
      </x:c>
      <x:c r="G33" s="16" t="n">
        <x:f>IF(OR(H33="Owned",H33="Skip"),0,C33*F33)</x:f>
        <x:v>45</x:v>
      </x:c>
      <x:c r="H33" s="14" t="str">
        <x:v>Plan</x:v>
      </x:c>
      <x:c r="I33" s="13" t="str">
        <x:v>Local or online</x:v>
      </x:c>
      <x:c r="J33" s="13" t="str">
        <x:v>Planning allowance</x:v>
      </x:c>
      <x:c r="K33" s="2" t="str"/>
      <x:c r="L33" s="18" t="str">
        <x:v>https://www.noga.com/product/noga-burr-3/</x:v>
      </x:c>
      <x:c r="M33" s="2" t="str">
        <x:v>19</x:v>
      </x:c>
    </x:row>
    <x:row r="34" ht="48" customHeight="1">
      <x:c r="A34" s="13" t="str">
        <x:v>Mechanical tools</x:v>
      </x:c>
      <x:c r="B34" s="13" t="str">
        <x:v>Small files + sanding sheets</x:v>
      </x:c>
      <x:c r="C34" s="17" t="n">
        <x:v>1</x:v>
      </x:c>
      <x:c r="D34" s="13" t="str">
        <x:v>set</x:v>
      </x:c>
      <x:c r="E34" s="13" t="str">
        <x:v>Flat, round and half-round profiles; mixed grits</x:v>
      </x:c>
      <x:c r="F34" s="15" t="n">
        <x:v>70</x:v>
      </x:c>
      <x:c r="G34" s="16" t="n">
        <x:f>IF(OR(H34="Owned",H34="Skip"),0,C34*F34)</x:f>
        <x:v>70</x:v>
      </x:c>
      <x:c r="H34" s="14" t="str">
        <x:v>Plan</x:v>
      </x:c>
      <x:c r="I34" s="13" t="str">
        <x:v>Local or online</x:v>
      </x:c>
      <x:c r="J34" s="13" t="str">
        <x:v>Planning allowance</x:v>
      </x:c>
      <x:c r="K34" s="2" t="str"/>
      <x:c r="L34" s="18" t="str">
        <x:v>https://www.bahco.com/int_en/needle-file-set-second-cut-unhandled-160-mm---6-pcs-pb_2-470-16-1-0_.html</x:v>
      </x:c>
      <x:c r="M34" s="2" t="str">
        <x:v>20</x:v>
      </x:c>
    </x:row>
    <x:row r="35" ht="48" customHeight="1">
      <x:c r="A35" s="13" t="str">
        <x:v>Mechanical tools</x:v>
      </x:c>
      <x:c r="B35" s="13" t="str">
        <x:v>Center punch + layout marker</x:v>
      </x:c>
      <x:c r="C35" s="17" t="n">
        <x:v>1</x:v>
      </x:c>
      <x:c r="D35" s="13" t="str">
        <x:v>set</x:v>
      </x:c>
      <x:c r="E35" s="13" t="str">
        <x:v>For controlled hole placement</x:v>
      </x:c>
      <x:c r="F35" s="15" t="n">
        <x:v>45</x:v>
      </x:c>
      <x:c r="G35" s="16" t="n">
        <x:f>IF(OR(H35="Owned",H35="Skip"),0,C35*F35)</x:f>
        <x:v>45</x:v>
      </x:c>
      <x:c r="H35" s="14" t="str">
        <x:v>Plan</x:v>
      </x:c>
      <x:c r="I35" s="13" t="str">
        <x:v>Local or online</x:v>
      </x:c>
      <x:c r="J35" s="13" t="str">
        <x:v>Planning allowance</x:v>
      </x:c>
      <x:c r="K35" s="2" t="str"/>
      <x:c r="L35" s="18" t="str">
        <x:v>https://www.drapertools.com/product/13612/draper-expert-automatic-centre-punch/</x:v>
      </x:c>
      <x:c r="M35" s="2" t="str">
        <x:v>21</x:v>
      </x:c>
    </x:row>
    <x:row r="36" ht="48" customHeight="1">
      <x:c r="A36" s="13" t="str">
        <x:v>Mechanical tools</x:v>
      </x:c>
      <x:c r="B36" s="13" t="str">
        <x:v>Backing / work board</x:v>
      </x:c>
      <x:c r="C36" s="17" t="n">
        <x:v>1</x:v>
      </x:c>
      <x:c r="D36" s="13" t="str">
        <x:v>piece</x:v>
      </x:c>
      <x:c r="E36" s="13" t="str">
        <x:v>Sacrificial board for drilling and fixture base; reuse suitable scrap</x:v>
      </x:c>
      <x:c r="F36" s="15" t="n">
        <x:v>50</x:v>
      </x:c>
      <x:c r="G36" s="16" t="n">
        <x:f>IF(OR(H36="Owned",H36="Skip"),0,C36*F36)</x:f>
        <x:v>50</x:v>
      </x:c>
      <x:c r="H36" s="14" t="str">
        <x:v>Check home</x:v>
      </x:c>
      <x:c r="I36" s="13" t="str">
        <x:v>Local or online</x:v>
      </x:c>
      <x:c r="J36" s="13" t="str">
        <x:v>Planning allowance</x:v>
      </x:c>
      <x:c r="K36" s="2" t="str"/>
      <x:c r="L36" s="18" t="str">
        <x:v>https://www.ikea.com/il/he/p/aptitlig-chopping-board-bamboo-80233430/</x:v>
      </x:c>
      <x:c r="M36" s="2" t="str">
        <x:v>22</x:v>
      </x:c>
    </x:row>
    <x:row r="37" ht="48" customHeight="1">
      <x:c r="A37" s="13" t="str">
        <x:v>Mechanical tools</x:v>
      </x:c>
      <x:c r="B37" s="13" t="str">
        <x:v>Bench brush + chip container</x:v>
      </x:c>
      <x:c r="C37" s="17" t="n">
        <x:v>1</x:v>
      </x:c>
      <x:c r="D37" s="13" t="str">
        <x:v>set</x:v>
      </x:c>
      <x:c r="E37" s="13" t="str">
        <x:v>Dedicated mechanical-cleanup tools</x:v>
      </x:c>
      <x:c r="F37" s="15" t="n">
        <x:v>45</x:v>
      </x:c>
      <x:c r="G37" s="16" t="n">
        <x:f>IF(OR(H37="Owned",H37="Skip"),0,C37*F37)</x:f>
        <x:v>45</x:v>
      </x:c>
      <x:c r="H37" s="14" t="str">
        <x:v>Plan</x:v>
      </x:c>
      <x:c r="I37" s="13" t="str">
        <x:v>Local or online</x:v>
      </x:c>
      <x:c r="J37" s="13" t="str">
        <x:v>Planning allowance</x:v>
      </x:c>
      <x:c r="K37" s="2" t="str"/>
      <x:c r="L37" s="18" t="str">
        <x:v>https://www.ikea.com/il/he/p/pepprig-dust-pan-and-brush-grey-10527087/</x:v>
      </x:c>
      <x:c r="M37" s="2" t="str">
        <x:v>23</x:v>
      </x:c>
    </x:row>
    <x:row r="38" ht="48" customHeight="1">
      <x:c r="A38" s="13" t="str">
        <x:v>Mechanical tools</x:v>
      </x:c>
      <x:c r="B38" s="13" t="str">
        <x:v>Eye protection</x:v>
      </x:c>
      <x:c r="C38" s="17" t="n">
        <x:v>1</x:v>
      </x:c>
      <x:c r="D38" s="13" t="str">
        <x:v>pair</x:v>
      </x:c>
      <x:c r="E38" s="13" t="str">
        <x:v>For drilling, cutting and finishing</x:v>
      </x:c>
      <x:c r="F38" s="15" t="n">
        <x:v>50</x:v>
      </x:c>
      <x:c r="G38" s="16" t="n">
        <x:f>IF(OR(H38="Owned",H38="Skip"),0,C38*F38)</x:f>
        <x:v>50</x:v>
      </x:c>
      <x:c r="H38" s="14" t="str">
        <x:v>Plan</x:v>
      </x:c>
      <x:c r="I38" s="13" t="str">
        <x:v>Local or online</x:v>
      </x:c>
      <x:c r="J38" s="13" t="str">
        <x:v>Planning allowance</x:v>
      </x:c>
      <x:c r="K38" s="2" t="str"/>
      <x:c r="L38" s="18" t="str">
        <x:v>https://www.3m.com/3M/en_US/p/d/b00050518/</x:v>
      </x:c>
      <x:c r="M38" s="2" t="str">
        <x:v>24</x:v>
      </x:c>
    </x:row>
    <x:row r="39" ht="48" customHeight="1">
      <x:c r="A39" s="13" t="str">
        <x:v>Hardware</x:v>
      </x:c>
      <x:c r="B39" s="13" t="str">
        <x:v>M3 socket-head screws</x:v>
      </x:c>
      <x:c r="C39" s="17" t="n">
        <x:v>1</x:v>
      </x:c>
      <x:c r="D39" s="13" t="str">
        <x:v>100-piece set</x:v>
      </x:c>
      <x:c r="E39" s="13" t="str">
        <x:v>Approx. 20 each of 8/10/12/16/20 mm; stainless where wet use matters</x:v>
      </x:c>
      <x:c r="F39" s="15" t="n">
        <x:v>80</x:v>
      </x:c>
      <x:c r="G39" s="16" t="n">
        <x:f>IF(OR(H39="Owned",H39="Skip"),0,C39*F39)</x:f>
        <x:v>80</x:v>
      </x:c>
      <x:c r="H39" s="14" t="str">
        <x:v>Plan</x:v>
      </x:c>
      <x:c r="I39" s="13" t="str">
        <x:v>Local or online</x:v>
      </x:c>
      <x:c r="J39" s="13" t="str">
        <x:v>Planning allowance</x:v>
      </x:c>
      <x:c r="K39" s="2" t="str"/>
      <x:c r="L39" s="18" t="str">
        <x:v>https://www.toptool.co.il/product/אלן-עם-ראש-נירוסטה/</x:v>
      </x:c>
      <x:c r="M39" s="2" t="str">
        <x:v>25</x:v>
      </x:c>
    </x:row>
    <x:row r="40" ht="48" customHeight="1">
      <x:c r="A40" s="13" t="str">
        <x:v>Hardware</x:v>
      </x:c>
      <x:c r="B40" s="13" t="str">
        <x:v>M4 socket-head screws</x:v>
      </x:c>
      <x:c r="C40" s="17" t="n">
        <x:v>1</x:v>
      </x:c>
      <x:c r="D40" s="13" t="str">
        <x:v>40-piece set</x:v>
      </x:c>
      <x:c r="E40" s="13" t="str">
        <x:v>Approx. 10 each of 12/16/20/25 mm; stainless where wet use matters</x:v>
      </x:c>
      <x:c r="F40" s="15" t="n">
        <x:v>60</x:v>
      </x:c>
      <x:c r="G40" s="16" t="n">
        <x:f>IF(OR(H40="Owned",H40="Skip"),0,C40*F40)</x:f>
        <x:v>60</x:v>
      </x:c>
      <x:c r="H40" s="14" t="str">
        <x:v>Plan</x:v>
      </x:c>
      <x:c r="I40" s="13" t="str">
        <x:v>Local or online</x:v>
      </x:c>
      <x:c r="J40" s="13" t="str">
        <x:v>Planning allowance</x:v>
      </x:c>
      <x:c r="K40" s="2" t="str"/>
      <x:c r="L40" s="18" t="str">
        <x:v>https://www.toptool.co.il/product/אלן-עם-ראש-נירוסטה/</x:v>
      </x:c>
      <x:c r="M40" s="2" t="str">
        <x:v>26</x:v>
      </x:c>
    </x:row>
    <x:row r="41" ht="48" customHeight="1">
      <x:c r="A41" s="13" t="str">
        <x:v>Hardware</x:v>
      </x:c>
      <x:c r="B41" s="13" t="str">
        <x:v>M3 nuts and washers</x:v>
      </x:c>
      <x:c r="C41" s="17" t="n">
        <x:v>1</x:v>
      </x:c>
      <x:c r="D41" s="13" t="str">
        <x:v>set</x:v>
      </x:c>
      <x:c r="E41" s="13" t="str">
        <x:v>About 100 nuts + 200 washers; some nuts can be locknuts</x:v>
      </x:c>
      <x:c r="F41" s="15" t="n">
        <x:v>60</x:v>
      </x:c>
      <x:c r="G41" s="16" t="n">
        <x:f>IF(OR(H41="Owned",H41="Skip"),0,C41*F41)</x:f>
        <x:v>60</x:v>
      </x:c>
      <x:c r="H41" s="14" t="str">
        <x:v>Plan</x:v>
      </x:c>
      <x:c r="I41" s="13" t="str">
        <x:v>Local or online</x:v>
      </x:c>
      <x:c r="J41" s="13" t="str">
        <x:v>Planning allowance</x:v>
      </x:c>
      <x:c r="K41" s="2" t="str"/>
      <x:c r="L41" s="18" t="str">
        <x:v>https://www.toptool.co.il/product/326-אום-נירוסטה-304/</x:v>
      </x:c>
      <x:c r="M41" s="2" t="str">
        <x:v>27</x:v>
      </x:c>
    </x:row>
    <x:row r="42" ht="48" customHeight="1">
      <x:c r="A42" s="13" t="str">
        <x:v>Hardware</x:v>
      </x:c>
      <x:c r="B42" s="13" t="str">
        <x:v>M4 nuts and washers</x:v>
      </x:c>
      <x:c r="C42" s="17" t="n">
        <x:v>1</x:v>
      </x:c>
      <x:c r="D42" s="13" t="str">
        <x:v>set</x:v>
      </x:c>
      <x:c r="E42" s="13" t="str">
        <x:v>About 40 nuts + 80 washers; some nuts can be locknuts</x:v>
      </x:c>
      <x:c r="F42" s="15" t="n">
        <x:v>45</x:v>
      </x:c>
      <x:c r="G42" s="16" t="n">
        <x:f>IF(OR(H42="Owned",H42="Skip"),0,C42*F42)</x:f>
        <x:v>45</x:v>
      </x:c>
      <x:c r="H42" s="14" t="str">
        <x:v>Plan</x:v>
      </x:c>
      <x:c r="I42" s="13" t="str">
        <x:v>Local or online</x:v>
      </x:c>
      <x:c r="J42" s="13" t="str">
        <x:v>Planning allowance</x:v>
      </x:c>
      <x:c r="K42" s="2" t="str"/>
      <x:c r="L42" s="18" t="str">
        <x:v>https://www.toptool.co.il/product/326-אום-נירוסטה-304/</x:v>
      </x:c>
      <x:c r="M42" s="2" t="str">
        <x:v>28</x:v>
      </x:c>
    </x:row>
    <x:row r="43" ht="48" customHeight="1">
      <x:c r="A43" s="13" t="str">
        <x:v>Hardware</x:v>
      </x:c>
      <x:c r="B43" s="13" t="str">
        <x:v>Electronics mounting hardware</x:v>
      </x:c>
      <x:c r="C43" s="17" t="n">
        <x:v>1</x:v>
      </x:c>
      <x:c r="D43" s="13" t="str">
        <x:v>small set</x:v>
      </x:c>
      <x:c r="E43" s="13" t="str">
        <x:v>M2/M2.5 screws and nuts; M3 standoffs. Match actual board holes.</x:v>
      </x:c>
      <x:c r="F43" s="15" t="n">
        <x:v>70</x:v>
      </x:c>
      <x:c r="G43" s="16" t="n">
        <x:f>IF(OR(H43="Owned",H43="Skip"),0,C43*F43)</x:f>
        <x:v>70</x:v>
      </x:c>
      <x:c r="H43" s="14" t="str">
        <x:v>Plan</x:v>
      </x:c>
      <x:c r="I43" s="13" t="str">
        <x:v>Local or online</x:v>
      </x:c>
      <x:c r="J43" s="13" t="str">
        <x:v>Planning allowance</x:v>
      </x:c>
      <x:c r="K43" s="2" t="str"/>
      <x:c r="L43" s="18" t="str">
        <x:v>https://www.adafruit.com/product/3299</x:v>
      </x:c>
      <x:c r="M43" s="2" t="str">
        <x:v>29</x:v>
      </x:c>
    </x:row>
    <x:row r="44" ht="48" customHeight="1">
      <x:c r="A44" s="13" t="str">
        <x:v>Hardware</x:v>
      </x:c>
      <x:c r="B44" s="13" t="str">
        <x:v>M3 heat-set inserts</x:v>
      </x:c>
      <x:c r="C44" s="17" t="n">
        <x:v>1</x:v>
      </x:c>
      <x:c r="D44" s="13" t="str">
        <x:v>50-piece pack</x:v>
      </x:c>
      <x:c r="E44" s="13" t="str">
        <x:v>Select one insert geometry; use its actual dimensions in CAD</x:v>
      </x:c>
      <x:c r="F44" s="15" t="n">
        <x:v>45</x:v>
      </x:c>
      <x:c r="G44" s="16" t="n">
        <x:f>IF(OR(H44="Owned",H44="Skip"),0,C44*F44)</x:f>
        <x:v>45</x:v>
      </x:c>
      <x:c r="H44" s="14" t="str">
        <x:v>Plan</x:v>
      </x:c>
      <x:c r="I44" s="13" t="str">
        <x:v>Local or online</x:v>
      </x:c>
      <x:c r="J44" s="13" t="str">
        <x:v>Planning allowance</x:v>
      </x:c>
      <x:c r="K44" s="2" t="str"/>
      <x:c r="L44" s="18" t="str">
        <x:v>https://www.prusa3d.com/en/product/heat-set-inserts-m3-standard-100-pcs/</x:v>
      </x:c>
      <x:c r="M44" s="2" t="str">
        <x:v>30</x:v>
      </x:c>
    </x:row>
    <x:row r="45" ht="48" customHeight="1">
      <x:c r="A45" s="13" t="str">
        <x:v>Hardware</x:v>
      </x:c>
      <x:c r="B45" s="13" t="str">
        <x:v>Insert installation tip</x:v>
      </x:c>
      <x:c r="C45" s="17" t="n">
        <x:v>1</x:v>
      </x:c>
      <x:c r="D45" s="13" t="str">
        <x:v>unit</x:v>
      </x:c>
      <x:c r="E45" s="13" t="str">
        <x:v>Compatible with selected iron and inserts</x:v>
      </x:c>
      <x:c r="F45" s="15" t="n">
        <x:v>50</x:v>
      </x:c>
      <x:c r="G45" s="16" t="n">
        <x:f>IF(OR(H45="Owned",H45="Skip"),0,C45*F45)</x:f>
        <x:v>50</x:v>
      </x:c>
      <x:c r="H45" s="14" t="str">
        <x:v>Specify</x:v>
      </x:c>
      <x:c r="I45" s="13" t="str">
        <x:v>Local or online</x:v>
      </x:c>
      <x:c r="J45" s="13" t="str">
        <x:v>Planning allowance</x:v>
      </x:c>
      <x:c r="K45" s="2" t="str"/>
      <x:c r="L45" s="18" t="str">
        <x:v>https://pine64.com/product/pinecil-threaded-insert-tips-set-and-adapter/</x:v>
      </x:c>
      <x:c r="M45" s="2" t="str">
        <x:v>31</x:v>
      </x:c>
    </x:row>
    <x:row r="46" ht="48" customHeight="1">
      <x:c r="A46" s="13" t="str">
        <x:v>Hardware</x:v>
      </x:c>
      <x:c r="B46" s="13" t="str">
        <x:v>Feet and rubber material</x:v>
      </x:c>
      <x:c r="C46" s="17" t="n">
        <x:v>1</x:v>
      </x:c>
      <x:c r="D46" s="13" t="str">
        <x:v>small set</x:v>
      </x:c>
      <x:c r="E46" s="13" t="str">
        <x:v>Rubber feet / sheet for traction and vibration isolation</x:v>
      </x:c>
      <x:c r="F46" s="15" t="n">
        <x:v>40</x:v>
      </x:c>
      <x:c r="G46" s="16" t="n">
        <x:f>IF(OR(H46="Owned",H46="Skip"),0,C46*F46)</x:f>
        <x:v>40</x:v>
      </x:c>
      <x:c r="H46" s="14" t="str">
        <x:v>Plan</x:v>
      </x:c>
      <x:c r="I46" s="13" t="str">
        <x:v>Local or online</x:v>
      </x:c>
      <x:c r="J46" s="13" t="str">
        <x:v>Planning allowance</x:v>
      </x:c>
      <x:c r="K46" s="2" t="str"/>
      <x:c r="L46" s="18" t="str">
        <x:v>https://www.adafruit.com/product/550</x:v>
      </x:c>
      <x:c r="M46" s="2" t="str">
        <x:v>32</x:v>
      </x:c>
    </x:row>
    <x:row r="47" ht="48" customHeight="1">
      <x:c r="A47" s="13" t="str">
        <x:v>Electronics bench</x:v>
      </x:c>
      <x:c r="B47" s="13" t="str">
        <x:v>Brymen BM235 multimeter</x:v>
      </x:c>
      <x:c r="C47" s="17" t="n">
        <x:v>1</x:v>
      </x:c>
      <x:c r="D47" s="13" t="str">
        <x:v>unit</x:v>
      </x:c>
      <x:c r="E47" s="13" t="str">
        <x:v>Candidate; confirm supplied probes and local total price</x:v>
      </x:c>
      <x:c r="F47" s="15" t="n">
        <x:v>650</x:v>
      </x:c>
      <x:c r="G47" s="16" t="n">
        <x:f>IF(OR(H47="Owned",H47="Skip"),0,C47*F47)</x:f>
        <x:v>650</x:v>
      </x:c>
      <x:c r="H47" s="14" t="str">
        <x:v>Compare</x:v>
      </x:c>
      <x:c r="I47" s="13" t="str">
        <x:v>TME / instrument supplier</x:v>
      </x:c>
      <x:c r="J47" s="13" t="str">
        <x:v>Planning allowance; product listing only</x:v>
      </x:c>
      <x:c r="K47" s="2" t="str"/>
      <x:c r="L47" s="18" t="str">
        <x:v>https://www.tme.com/il/en/details/bm235/portable-digital-multimeters/brymen/</x:v>
      </x:c>
      <x:c r="M47" s="2" t="str">
        <x:v>33</x:v>
      </x:c>
    </x:row>
    <x:row r="48" ht="48" customHeight="1">
      <x:c r="A48" s="13" t="str">
        <x:v>Electronics bench</x:v>
      </x:c>
      <x:c r="B48" s="13" t="str">
        <x:v>Current-limited bench supply</x:v>
      </x:c>
      <x:c r="C48" s="17" t="n">
        <x:v>1</x:v>
      </x:c>
      <x:c r="D48" s="13" t="str">
        <x:v>unit</x:v>
      </x:c>
      <x:c r="E48" s="13" t="str">
        <x:v>0–30 V / 0–5 A class; output enable; suitable mains input. Full robot may need a different supply.</x:v>
      </x:c>
      <x:c r="F48" s="15" t="n">
        <x:v>900</x:v>
      </x:c>
      <x:c r="G48" s="16" t="n">
        <x:f>IF(OR(H48="Owned",H48="Skip"),0,C48*F48)</x:f>
        <x:v>900</x:v>
      </x:c>
      <x:c r="H48" s="14" t="str">
        <x:v>Compare</x:v>
      </x:c>
      <x:c r="I48" s="13" t="str">
        <x:v>Instrument supplier</x:v>
      </x:c>
      <x:c r="J48" s="13" t="str">
        <x:v>Planning allowance; model not selected</x:v>
      </x:c>
      <x:c r="K48" s="2" t="str"/>
      <x:c r="L48" s="18" t="str">
        <x:v>https://www.siglent.eu/product/1140972/siglent-spd1305x-0-to-30v-0-to-5amp-single-output-power-supply</x:v>
      </x:c>
      <x:c r="M48" s="2" t="str">
        <x:v>34</x:v>
      </x:c>
    </x:row>
    <x:row r="49" ht="48" customHeight="1">
      <x:c r="A49" s="13" t="str">
        <x:v>Electronics bench</x:v>
      </x:c>
      <x:c r="B49" s="13" t="str">
        <x:v>Pinecil V2 iron</x:v>
      </x:c>
      <x:c r="C49" s="17" t="n">
        <x:v>1</x:v>
      </x:c>
      <x:c r="D49" s="13" t="str">
        <x:v>unit</x:v>
      </x:c>
      <x:c r="E49" s="13" t="str">
        <x:v>Candidate; buy genuine. Supply, cable and stand are separate rows.</x:v>
      </x:c>
      <x:c r="F49" s="15" t="n">
        <x:v>160</x:v>
      </x:c>
      <x:c r="G49" s="16" t="n">
        <x:f>IF(OR(H49="Owned",H49="Skip"),0,C49*F49)</x:f>
        <x:v>160</x:v>
      </x:c>
      <x:c r="H49" s="14" t="str">
        <x:v>Compare</x:v>
      </x:c>
      <x:c r="I49" s="13" t="str">
        <x:v>PINE64 / authorized seller</x:v>
      </x:c>
      <x:c r="J49" s="13" t="str">
        <x:v>ILS planning allowance, not converted quote</x:v>
      </x:c>
      <x:c r="K49" s="2" t="str"/>
      <x:c r="L49" s="18" t="str">
        <x:v>https://pine64.com/product/pinecil-smart-mini-portable-soldering-iron/</x:v>
      </x:c>
      <x:c r="M49" s="2" t="str">
        <x:v>35</x:v>
      </x:c>
    </x:row>
    <x:row r="50" ht="48" customHeight="1">
      <x:c r="A50" s="13" t="str">
        <x:v>Electronics bench</x:v>
      </x:c>
      <x:c r="B50" s="13" t="str">
        <x:v>USB-C PD power adapter</x:v>
      </x:c>
      <x:c r="C50" s="17" t="n">
        <x:v>1</x:v>
      </x:c>
      <x:c r="D50" s="13" t="str">
        <x:v>unit</x:v>
      </x:c>
      <x:c r="E50" s="13" t="str">
        <x:v>Reputable 65 W or higher unit with 20 V output profile; compatible with iron</x:v>
      </x:c>
      <x:c r="F50" s="15" t="n">
        <x:v>130</x:v>
      </x:c>
      <x:c r="G50" s="16" t="n">
        <x:f>IF(OR(H50="Owned",H50="Skip"),0,C50*F50)</x:f>
        <x:v>130</x:v>
      </x:c>
      <x:c r="H50" s="14" t="str">
        <x:v>Check home</x:v>
      </x:c>
      <x:c r="I50" s="13" t="str">
        <x:v>Local or online</x:v>
      </x:c>
      <x:c r="J50" s="13" t="str">
        <x:v>Planning allowance</x:v>
      </x:c>
      <x:c r="K50" s="2" t="str"/>
      <x:c r="L50" s="18" t="str">
        <x:v>https://pine64.com/product/pinepower-65w-gan-2c1a-charger-with-international-plugs/</x:v>
      </x:c>
      <x:c r="M50" s="2" t="str">
        <x:v>36</x:v>
      </x:c>
    </x:row>
    <x:row r="51" ht="48" customHeight="1">
      <x:c r="A51" s="13" t="str">
        <x:v>Electronics bench</x:v>
      </x:c>
      <x:c r="B51" s="13" t="str">
        <x:v>Soldering USB-C cable</x:v>
      </x:c>
      <x:c r="C51" s="17" t="n">
        <x:v>1</x:v>
      </x:c>
      <x:c r="D51" s="13" t="str">
        <x:v>unit</x:v>
      </x:c>
      <x:c r="E51" s="13" t="str">
        <x:v>Flexible heat-resistant cable; rated for selected PD current</x:v>
      </x:c>
      <x:c r="F51" s="15" t="n">
        <x:v>45</x:v>
      </x:c>
      <x:c r="G51" s="16" t="n">
        <x:f>IF(OR(H51="Owned",H51="Skip"),0,C51*F51)</x:f>
        <x:v>45</x:v>
      </x:c>
      <x:c r="H51" s="14" t="str">
        <x:v>Plan</x:v>
      </x:c>
      <x:c r="I51" s="13" t="str">
        <x:v>Local or online</x:v>
      </x:c>
      <x:c r="J51" s="13" t="str">
        <x:v>Planning allowance</x:v>
      </x:c>
      <x:c r="K51" s="2" t="str"/>
      <x:c r="L51" s="18" t="str">
        <x:v>https://pine64.com/product/usb-type-c-to-usb-type-c-silicone-power-charging-cable-1-5-meter-length/</x:v>
      </x:c>
      <x:c r="M51" s="2" t="str">
        <x:v>37</x:v>
      </x:c>
    </x:row>
    <x:row r="52" ht="48" customHeight="1">
      <x:c r="A52" s="13" t="str">
        <x:v>Electronics bench</x:v>
      </x:c>
      <x:c r="B52" s="13" t="str">
        <x:v>Iron stand + brass cleaner</x:v>
      </x:c>
      <x:c r="C52" s="17" t="n">
        <x:v>1</x:v>
      </x:c>
      <x:c r="D52" s="13" t="str">
        <x:v>set</x:v>
      </x:c>
      <x:c r="E52" s="13" t="str">
        <x:v>Stable stand for the selected iron</x:v>
      </x:c>
      <x:c r="F52" s="15" t="n">
        <x:v>70</x:v>
      </x:c>
      <x:c r="G52" s="16" t="n">
        <x:f>IF(OR(H52="Owned",H52="Skip"),0,C52*F52)</x:f>
        <x:v>70</x:v>
      </x:c>
      <x:c r="H52" s="14" t="str">
        <x:v>Plan</x:v>
      </x:c>
      <x:c r="I52" s="13" t="str">
        <x:v>Local or online</x:v>
      </x:c>
      <x:c r="J52" s="13" t="str">
        <x:v>Planning allowance</x:v>
      </x:c>
      <x:c r="K52" s="2" t="str"/>
      <x:c r="L52" s="18" t="str">
        <x:v>https://www.tequipment.net/Hakko/FH300-01/Soldering-Accessories</x:v>
      </x:c>
      <x:c r="M52" s="2" t="str">
        <x:v>38</x:v>
      </x:c>
    </x:row>
    <x:row r="53" ht="48" customHeight="1">
      <x:c r="A53" s="13" t="str">
        <x:v>Electronics bench</x:v>
      </x:c>
      <x:c r="B53" s="13" t="str">
        <x:v>Soldering tips</x:v>
      </x:c>
      <x:c r="C53" s="17" t="n">
        <x:v>1</x:v>
      </x:c>
      <x:c r="D53" s="13" t="str">
        <x:v>small set</x:v>
      </x:c>
      <x:c r="E53" s="13" t="str">
        <x:v>Compatible chisel sizes for wires and through-hole work</x:v>
      </x:c>
      <x:c r="F53" s="15" t="n">
        <x:v>90</x:v>
      </x:c>
      <x:c r="G53" s="16" t="n">
        <x:f>IF(OR(H53="Owned",H53="Skip"),0,C53*F53)</x:f>
        <x:v>90</x:v>
      </x:c>
      <x:c r="H53" s="14" t="str">
        <x:v>Plan</x:v>
      </x:c>
      <x:c r="I53" s="13" t="str">
        <x:v>Local or online</x:v>
      </x:c>
      <x:c r="J53" s="13" t="str">
        <x:v>Planning allowance</x:v>
      </x:c>
      <x:c r="K53" s="2" t="str"/>
      <x:c r="L53" s="18" t="str">
        <x:v>https://pine64.com/product/pinecil-soldering-short-tip-set-gross/</x:v>
      </x:c>
      <x:c r="M53" s="2" t="str">
        <x:v>39</x:v>
      </x:c>
    </x:row>
    <x:row r="54" ht="48" customHeight="1">
      <x:c r="A54" s="13" t="str">
        <x:v>Electronics bench</x:v>
      </x:c>
      <x:c r="B54" s="13" t="str">
        <x:v>PCB holder</x:v>
      </x:c>
      <x:c r="C54" s="17" t="n">
        <x:v>1</x:v>
      </x:c>
      <x:c r="D54" s="13" t="str">
        <x:v>unit</x:v>
      </x:c>
      <x:c r="E54" s="13" t="str">
        <x:v>Stable board support; compatible with normal board sizes</x:v>
      </x:c>
      <x:c r="F54" s="15" t="n">
        <x:v>70</x:v>
      </x:c>
      <x:c r="G54" s="16" t="n">
        <x:f>IF(OR(H54="Owned",H54="Skip"),0,C54*F54)</x:f>
        <x:v>70</x:v>
      </x:c>
      <x:c r="H54" s="14" t="str">
        <x:v>Plan</x:v>
      </x:c>
      <x:c r="I54" s="13" t="str">
        <x:v>Local or online</x:v>
      </x:c>
      <x:c r="J54" s="13" t="str">
        <x:v>Planning allowance</x:v>
      </x:c>
      <x:c r="K54" s="2" t="str"/>
      <x:c r="L54" s="18" t="str">
        <x:v>https://www.adafruit.com/product/3791</x:v>
      </x:c>
      <x:c r="M54" s="2" t="str">
        <x:v>40</x:v>
      </x:c>
    </x:row>
    <x:row r="55" ht="48" customHeight="1">
      <x:c r="A55" s="13" t="str">
        <x:v>Electronics bench</x:v>
      </x:c>
      <x:c r="B55" s="13" t="str">
        <x:v>Heat-resistant work mat</x:v>
      </x:c>
      <x:c r="C55" s="17" t="n">
        <x:v>1</x:v>
      </x:c>
      <x:c r="D55" s="13" t="str">
        <x:v>unit</x:v>
      </x:c>
      <x:c r="E55" s="13" t="str">
        <x:v>Sized for electronics zone; kept separate from chips</x:v>
      </x:c>
      <x:c r="F55" s="15" t="n">
        <x:v>60</x:v>
      </x:c>
      <x:c r="G55" s="16" t="n">
        <x:f>IF(OR(H55="Owned",H55="Skip"),0,C55*F55)</x:f>
        <x:v>60</x:v>
      </x:c>
      <x:c r="H55" s="14" t="str">
        <x:v>Plan</x:v>
      </x:c>
      <x:c r="I55" s="13" t="str">
        <x:v>Local or online</x:v>
      </x:c>
      <x:c r="J55" s="13" t="str">
        <x:v>Planning allowance</x:v>
      </x:c>
      <x:c r="K55" s="2" t="str"/>
      <x:c r="L55" s="18" t="str">
        <x:v>https://www.adafruit.com/product/3536</x:v>
      </x:c>
      <x:c r="M55" s="2" t="str">
        <x:v>41</x:v>
      </x:c>
    </x:row>
    <x:row r="56" ht="48" customHeight="1">
      <x:c r="A56" s="13" t="str">
        <x:v>Electronics bench</x:v>
      </x:c>
      <x:c r="B56" s="13" t="str">
        <x:v>Solder fume capture equipment</x:v>
      </x:c>
      <x:c r="C56" s="17" t="n">
        <x:v>1</x:v>
      </x:c>
      <x:c r="D56" s="13" t="str">
        <x:v>allowance</x:v>
      </x:c>
      <x:c r="E56" s="13" t="str">
        <x:v>Source-capture/extraction equipment. Obtain a fit-for-room quote; installation separate.</x:v>
      </x:c>
      <x:c r="F56" s="15" t="n">
        <x:v>1000</x:v>
      </x:c>
      <x:c r="G56" s="16" t="n">
        <x:f>IF(OR(H56="Owned",H56="Skip"),0,C56*F56)</x:f>
        <x:v>1000</x:v>
      </x:c>
      <x:c r="H56" s="14" t="str">
        <x:v>Specify</x:v>
      </x:c>
      <x:c r="I56" s="13" t="str">
        <x:v>Local extraction supplier</x:v>
      </x:c>
      <x:c r="J56" s="13" t="str">
        <x:v>Unquoted allowance; may change</x:v>
      </x:c>
      <x:c r="K56" s="2" t="str"/>
      <x:c r="L56" s="18" t="str">
        <x:v>https://hlt.co.il/shop/%D7%A6%D7%99%D7%95%D7%93-%D7%94%D7%9C%D7%97%D7%9E%D7%94/%D7%94%D7%9C%D7%97%D7%9E%D7%94/%D7%A9%D7%95%D7%90%D7%91-%D7%A2%D7%A9%D7%9F-%D7%A9%D7%95%D7%9C%D7%97%D7%A0%D7%99/</x:v>
      </x:c>
      <x:c r="M56" s="2" t="str">
        <x:v>42</x:v>
      </x:c>
    </x:row>
    <x:row r="57" ht="48" customHeight="1">
      <x:c r="A57" s="13" t="str">
        <x:v>Electronics bench</x:v>
      </x:c>
      <x:c r="B57" s="13" t="str">
        <x:v>Wire stripper</x:v>
      </x:c>
      <x:c r="C57" s="17" t="n">
        <x:v>1</x:v>
      </x:c>
      <x:c r="D57" s="13" t="str">
        <x:v>unit</x:v>
      </x:c>
      <x:c r="E57" s="13" t="str">
        <x:v>Covers selected small wire gauges</x:v>
      </x:c>
      <x:c r="F57" s="15" t="n">
        <x:v>80</x:v>
      </x:c>
      <x:c r="G57" s="16" t="n">
        <x:f>IF(OR(H57="Owned",H57="Skip"),0,C57*F57)</x:f>
        <x:v>80</x:v>
      </x:c>
      <x:c r="H57" s="14" t="str">
        <x:v>Plan</x:v>
      </x:c>
      <x:c r="I57" s="13" t="str">
        <x:v>Local or online</x:v>
      </x:c>
      <x:c r="J57" s="13" t="str">
        <x:v>Planning allowance</x:v>
      </x:c>
      <x:c r="K57" s="2" t="str"/>
      <x:c r="L57" s="18" t="str">
        <x:v>https://shop.prokits.com.tw/handtools/moreinfo_5636.htm</x:v>
      </x:c>
      <x:c r="M57" s="2" t="str">
        <x:v>43</x:v>
      </x:c>
    </x:row>
    <x:row r="58" ht="48" customHeight="1">
      <x:c r="A58" s="13" t="str">
        <x:v>Electronics bench</x:v>
      </x:c>
      <x:c r="B58" s="13" t="str">
        <x:v>Controlled heat-shrink tool</x:v>
      </x:c>
      <x:c r="C58" s="17" t="n">
        <x:v>1</x:v>
      </x:c>
      <x:c r="D58" s="13" t="str">
        <x:v>unit</x:v>
      </x:c>
      <x:c r="E58" s="13" t="str">
        <x:v>Small controllable hot-air tool for heat-shrink</x:v>
      </x:c>
      <x:c r="F58" s="15" t="n">
        <x:v>120</x:v>
      </x:c>
      <x:c r="G58" s="16" t="n">
        <x:f>IF(OR(H58="Owned",H58="Skip"),0,C58*F58)</x:f>
        <x:v>120</x:v>
      </x:c>
      <x:c r="H58" s="14" t="str">
        <x:v>Plan</x:v>
      </x:c>
      <x:c r="I58" s="13" t="str">
        <x:v>Local or online</x:v>
      </x:c>
      <x:c r="J58" s="13" t="str">
        <x:v>Planning allowance</x:v>
      </x:c>
      <x:c r="K58" s="2" t="str"/>
      <x:c r="L58" s="18" t="str">
        <x:v>https://www.steinel-tools.de/en/products/hot-air/heat-guns/gun-type-tools/pro-hm-2120-e-089603.html</x:v>
      </x:c>
      <x:c r="M58" s="2" t="str">
        <x:v>44</x:v>
      </x:c>
    </x:row>
    <x:row r="59" ht="48" customHeight="1">
      <x:c r="A59" s="13" t="str">
        <x:v>Electronics bench</x:v>
      </x:c>
      <x:c r="B59" s="13" t="str">
        <x:v>Breadboards</x:v>
      </x:c>
      <x:c r="C59" s="17" t="n">
        <x:v>2</x:v>
      </x:c>
      <x:c r="D59" s="13" t="str">
        <x:v>unit</x:v>
      </x:c>
      <x:c r="E59" s="13" t="str">
        <x:v>Good contact quality; for signal prototyping</x:v>
      </x:c>
      <x:c r="F59" s="15" t="n">
        <x:v>35</x:v>
      </x:c>
      <x:c r="G59" s="16" t="n">
        <x:f>IF(OR(H59="Owned",H59="Skip"),0,C59*F59)</x:f>
        <x:v>70</x:v>
      </x:c>
      <x:c r="H59" s="14" t="str">
        <x:v>Plan</x:v>
      </x:c>
      <x:c r="I59" s="13" t="str">
        <x:v>Local or online</x:v>
      </x:c>
      <x:c r="J59" s="13" t="str">
        <x:v>Planning allowance</x:v>
      </x:c>
      <x:c r="K59" s="2" t="str"/>
      <x:c r="L59" s="18" t="str">
        <x:v>https://www.adafruit.com/product/239</x:v>
      </x:c>
      <x:c r="M59" s="2" t="str">
        <x:v>45</x:v>
      </x:c>
    </x:row>
    <x:row r="60" ht="48" customHeight="1">
      <x:c r="A60" s="13" t="str">
        <x:v>Electronics bench</x:v>
      </x:c>
      <x:c r="B60" s="13" t="str">
        <x:v>Perfboard</x:v>
      </x:c>
      <x:c r="C60" s="17" t="n">
        <x:v>1</x:v>
      </x:c>
      <x:c r="D60" s="13" t="str">
        <x:v>small pack</x:v>
      </x:c>
      <x:c r="E60" s="13" t="str">
        <x:v>For permanent prototypes</x:v>
      </x:c>
      <x:c r="F60" s="15" t="n">
        <x:v>30</x:v>
      </x:c>
      <x:c r="G60" s="16" t="n">
        <x:f>IF(OR(H60="Owned",H60="Skip"),0,C60*F60)</x:f>
        <x:v>30</x:v>
      </x:c>
      <x:c r="H60" s="14" t="str">
        <x:v>Plan</x:v>
      </x:c>
      <x:c r="I60" s="13" t="str">
        <x:v>Local or online</x:v>
      </x:c>
      <x:c r="J60" s="13" t="str">
        <x:v>Planning allowance</x:v>
      </x:c>
      <x:c r="K60" s="2" t="str"/>
      <x:c r="L60" s="18" t="str">
        <x:v>https://www.adafruit.com/product/571</x:v>
      </x:c>
      <x:c r="M60" s="2" t="str">
        <x:v>46</x:v>
      </x:c>
    </x:row>
    <x:row r="61" ht="48" customHeight="1">
      <x:c r="A61" s="13" t="str">
        <x:v>Connections</x:v>
      </x:c>
      <x:c r="B61" s="13" t="str">
        <x:v>Supply-to-load lead kit</x:v>
      </x:c>
      <x:c r="C61" s="17" t="n">
        <x:v>1</x:v>
      </x:c>
      <x:c r="D61" s="13" t="str">
        <x:v>set</x:v>
      </x:c>
      <x:c r="E61" s="13" t="str">
        <x:v>Supply-compatible terminals, insulated leads and terminal adapters; rate to intended current</x:v>
      </x:c>
      <x:c r="F61" s="15" t="n">
        <x:v>100</x:v>
      </x:c>
      <x:c r="G61" s="16" t="n">
        <x:f>IF(OR(H61="Owned",H61="Skip"),0,C61*F61)</x:f>
        <x:v>100</x:v>
      </x:c>
      <x:c r="H61" s="14" t="str">
        <x:v>Specify</x:v>
      </x:c>
      <x:c r="I61" s="13" t="str">
        <x:v>Local or online</x:v>
      </x:c>
      <x:c r="J61" s="13" t="str">
        <x:v>Planning allowance</x:v>
      </x:c>
      <x:c r="K61" s="2" t="str"/>
      <x:c r="L61" s="18" t="str">
        <x:v>https://www.pomonaelectronics.com/sites/default/files/d5907A-5908A-5909A_100.pdf</x:v>
      </x:c>
      <x:c r="M61" s="2" t="str">
        <x:v>47</x:v>
      </x:c>
    </x:row>
    <x:row r="62" ht="48" customHeight="1">
      <x:c r="A62" s="13" t="str">
        <x:v>Connections</x:v>
      </x:c>
      <x:c r="B62" s="13" t="str">
        <x:v>Insulated micro-grabber leads</x:v>
      </x:c>
      <x:c r="C62" s="17" t="n">
        <x:v>1</x:v>
      </x:c>
      <x:c r="D62" s="13" t="str">
        <x:v>set</x:v>
      </x:c>
      <x:c r="E62" s="13" t="str">
        <x:v>Match meter / future analyzer connectors; access small pins</x:v>
      </x:c>
      <x:c r="F62" s="15" t="n">
        <x:v>70</x:v>
      </x:c>
      <x:c r="G62" s="16" t="n">
        <x:f>IF(OR(H62="Owned",H62="Skip"),0,C62*F62)</x:f>
        <x:v>70</x:v>
      </x:c>
      <x:c r="H62" s="14" t="str">
        <x:v>Specify</x:v>
      </x:c>
      <x:c r="I62" s="13" t="str">
        <x:v>Local or online</x:v>
      </x:c>
      <x:c r="J62" s="13" t="str">
        <x:v>Planning allowance</x:v>
      </x:c>
      <x:c r="K62" s="2" t="str"/>
      <x:c r="L62" s="18" t="str">
        <x:v>https://www.adafruit.com/product/2607</x:v>
      </x:c>
      <x:c r="M62" s="2" t="str">
        <x:v>48</x:v>
      </x:c>
    </x:row>
    <x:row r="63" ht="48" customHeight="1">
      <x:c r="A63" s="13" t="str">
        <x:v>Connections</x:v>
      </x:c>
      <x:c r="B63" s="13" t="str">
        <x:v>Optional USB data cable spare</x:v>
      </x:c>
      <x:c r="C63" s="17" t="n">
        <x:v>2</x:v>
      </x:c>
      <x:c r="D63" s="13" t="str">
        <x:v>unit</x:v>
      </x:c>
      <x:c r="E63" s="13" t="str">
        <x:v>Selected Arduino kit B1 includes USB-C cable + USB-A adapter. Defer extra purchase; see B3 for one optional spare.</x:v>
      </x:c>
      <x:c r="F63" s="15" t="n">
        <x:v>25</x:v>
      </x:c>
      <x:c r="G63" s="16" t="n">
        <x:f>IF(OR(H63="Owned",H63="Skip"),0,C63*F63)</x:f>
        <x:v>0</x:v>
      </x:c>
      <x:c r="H63" s="14" t="str">
        <x:v>Skip</x:v>
      </x:c>
      <x:c r="I63" s="13" t="str">
        <x:v>Local or online</x:v>
      </x:c>
      <x:c r="J63" s="13" t="str">
        <x:v>Planning allowance</x:v>
      </x:c>
      <x:c r="K63" s="2" t="str"/>
      <x:c r="L63" s="18" t="str">
        <x:v>https://www.startech.com/en-nz/cables/usb2cb1m</x:v>
      </x:c>
      <x:c r="M63" s="2" t="str">
        <x:v>49</x:v>
      </x:c>
    </x:row>
    <x:row r="64" ht="48" customHeight="1">
      <x:c r="A64" s="13" t="str">
        <x:v>Connections</x:v>
      </x:c>
      <x:c r="B64" s="13" t="str">
        <x:v>Jumper wires + headers</x:v>
      </x:c>
      <x:c r="C64" s="17" t="n">
        <x:v>1</x:v>
      </x:c>
      <x:c r="D64" s="13" t="str">
        <x:v>set</x:v>
      </x:c>
      <x:c r="E64" s="13" t="str">
        <x:v>Male/male, male/female, headers and sockets</x:v>
      </x:c>
      <x:c r="F64" s="15" t="n">
        <x:v>45</x:v>
      </x:c>
      <x:c r="G64" s="16" t="n">
        <x:f>IF(OR(H64="Owned",H64="Skip"),0,C64*F64)</x:f>
        <x:v>45</x:v>
      </x:c>
      <x:c r="H64" s="14" t="str">
        <x:v>Plan</x:v>
      </x:c>
      <x:c r="I64" s="13" t="str">
        <x:v>Local or online</x:v>
      </x:c>
      <x:c r="J64" s="13" t="str">
        <x:v>Planning allowance</x:v>
      </x:c>
      <x:c r="K64" s="2" t="str"/>
      <x:c r="L64" s="18" t="str">
        <x:v>https://www.adafruit.com/product/1956</x:v>
      </x:c>
      <x:c r="M64" s="2" t="str">
        <x:v>50</x:v>
      </x:c>
    </x:row>
    <x:row r="65" ht="48" customHeight="1">
      <x:c r="A65" s="13" t="str">
        <x:v>Connections</x:v>
      </x:c>
      <x:c r="B65" s="13" t="str">
        <x:v>Solid-core signal wire</x:v>
      </x:c>
      <x:c r="C65" s="17" t="n">
        <x:v>1</x:v>
      </x:c>
      <x:c r="D65" s="13" t="str">
        <x:v>small set</x:v>
      </x:c>
      <x:c r="E65" s="13" t="str">
        <x:v>22 AWG for breadboards; several colors</x:v>
      </x:c>
      <x:c r="F65" s="15" t="n">
        <x:v>45</x:v>
      </x:c>
      <x:c r="G65" s="16" t="n">
        <x:f>IF(OR(H65="Owned",H65="Skip"),0,C65*F65)</x:f>
        <x:v>45</x:v>
      </x:c>
      <x:c r="H65" s="14" t="str">
        <x:v>Plan</x:v>
      </x:c>
      <x:c r="I65" s="13" t="str">
        <x:v>Local or online</x:v>
      </x:c>
      <x:c r="J65" s="13" t="str">
        <x:v>Planning allowance</x:v>
      </x:c>
      <x:c r="K65" s="2" t="str"/>
      <x:c r="L65" s="18" t="str">
        <x:v>https://www.adafruit.com/product/1311</x:v>
      </x:c>
      <x:c r="M65" s="2" t="str">
        <x:v>51</x:v>
      </x:c>
    </x:row>
    <x:row r="66" ht="48" customHeight="1">
      <x:c r="A66" s="13" t="str">
        <x:v>Connections</x:v>
      </x:c>
      <x:c r="B66" s="13" t="str">
        <x:v>Flexible signal wire</x:v>
      </x:c>
      <x:c r="C66" s="17" t="n">
        <x:v>1</x:v>
      </x:c>
      <x:c r="D66" s="13" t="str">
        <x:v>small set</x:v>
      </x:c>
      <x:c r="E66" s="13" t="str">
        <x:v>Approximately 22–26 AWG; choose for connector contacts</x:v>
      </x:c>
      <x:c r="F66" s="15" t="n">
        <x:v>55</x:v>
      </x:c>
      <x:c r="G66" s="16" t="n">
        <x:f>IF(OR(H66="Owned",H66="Skip"),0,C66*F66)</x:f>
        <x:v>55</x:v>
      </x:c>
      <x:c r="H66" s="14" t="str">
        <x:v>Plan</x:v>
      </x:c>
      <x:c r="I66" s="13" t="str">
        <x:v>Local or online</x:v>
      </x:c>
      <x:c r="J66" s="13" t="str">
        <x:v>Planning allowance</x:v>
      </x:c>
      <x:c r="K66" s="2" t="str"/>
      <x:c r="L66" s="18" t="str">
        <x:v>https://www.adafruit.com/product/3111</x:v>
      </x:c>
      <x:c r="M66" s="2" t="str">
        <x:v>52</x:v>
      </x:c>
    </x:row>
    <x:row r="67" ht="48" customHeight="1">
      <x:c r="A67" s="13" t="str">
        <x:v>Connections</x:v>
      </x:c>
      <x:c r="B67" s="13" t="str">
        <x:v>Premade locking leads</x:v>
      </x:c>
      <x:c r="C67" s="17" t="n">
        <x:v>1</x:v>
      </x:c>
      <x:c r="D67" s="13" t="str">
        <x:v>small set</x:v>
      </x:c>
      <x:c r="E67" s="13" t="str">
        <x:v>Choose exact matched connector housings and leads. Signal use; actuator power specified separately.</x:v>
      </x:c>
      <x:c r="F67" s="15" t="n">
        <x:v>100</x:v>
      </x:c>
      <x:c r="G67" s="16" t="n">
        <x:f>IF(OR(H67="Owned",H67="Skip"),0,C67*F67)</x:f>
        <x:v>100</x:v>
      </x:c>
      <x:c r="H67" s="14" t="str">
        <x:v>Specify</x:v>
      </x:c>
      <x:c r="I67" s="13" t="str">
        <x:v>Local or online</x:v>
      </x:c>
      <x:c r="J67" s="13" t="str">
        <x:v>Planning allowance</x:v>
      </x:c>
      <x:c r="K67" s="2" t="str"/>
      <x:c r="L67" s="18" t="str">
        <x:v>https://www.pololu.com/product/1164</x:v>
      </x:c>
      <x:c r="M67" s="2" t="str">
        <x:v>53</x:v>
      </x:c>
    </x:row>
    <x:row r="68" ht="48" customHeight="1">
      <x:c r="A68" s="13" t="str">
        <x:v>Connections</x:v>
      </x:c>
      <x:c r="B68" s="13" t="str">
        <x:v>Terminal connections</x:v>
      </x:c>
      <x:c r="C68" s="17" t="n">
        <x:v>1</x:v>
      </x:c>
      <x:c r="D68" s="13" t="str">
        <x:v>small set</x:v>
      </x:c>
      <x:c r="E68" s="13" t="str">
        <x:v>Suitable small screw terminals / distribution adapters; confirm current ratings</x:v>
      </x:c>
      <x:c r="F68" s="15" t="n">
        <x:v>45</x:v>
      </x:c>
      <x:c r="G68" s="16" t="n">
        <x:f>IF(OR(H68="Owned",H68="Skip"),0,C68*F68)</x:f>
        <x:v>45</x:v>
      </x:c>
      <x:c r="H68" s="14" t="str">
        <x:v>Specify</x:v>
      </x:c>
      <x:c r="I68" s="13" t="str">
        <x:v>Local or online</x:v>
      </x:c>
      <x:c r="J68" s="13" t="str">
        <x:v>Planning allowance</x:v>
      </x:c>
      <x:c r="K68" s="2" t="str"/>
      <x:c r="L68" s="18" t="str">
        <x:v>https://www.wago.com/gb/installation-terminal-blocks-and-connectors/splicing-connector-with-levers/p/221-412</x:v>
      </x:c>
      <x:c r="M68" s="2" t="str">
        <x:v>54</x:v>
      </x:c>
    </x:row>
    <x:row r="69" ht="48" customHeight="1">
      <x:c r="A69" s="13" t="str">
        <x:v>Connections</x:v>
      </x:c>
      <x:c r="B69" s="13" t="str">
        <x:v>Heat-shrink assortment</x:v>
      </x:c>
      <x:c r="C69" s="17" t="n">
        <x:v>1</x:v>
      </x:c>
      <x:c r="D69" s="13" t="str">
        <x:v>pack</x:v>
      </x:c>
      <x:c r="E69" s="13" t="str">
        <x:v>Sizes for chosen wires and joins</x:v>
      </x:c>
      <x:c r="F69" s="15" t="n">
        <x:v>30</x:v>
      </x:c>
      <x:c r="G69" s="16" t="n">
        <x:f>IF(OR(H69="Owned",H69="Skip"),0,C69*F69)</x:f>
        <x:v>30</x:v>
      </x:c>
      <x:c r="H69" s="14" t="str">
        <x:v>Plan</x:v>
      </x:c>
      <x:c r="I69" s="13" t="str">
        <x:v>Local or online</x:v>
      </x:c>
      <x:c r="J69" s="13" t="str">
        <x:v>Planning allowance</x:v>
      </x:c>
      <x:c r="K69" s="2" t="str"/>
      <x:c r="L69" s="18" t="str">
        <x:v>https://www.adafruit.com/product/344</x:v>
      </x:c>
      <x:c r="M69" s="2" t="str">
        <x:v>55</x:v>
      </x:c>
    </x:row>
    <x:row r="70" ht="48" customHeight="1">
      <x:c r="A70" s="13" t="str">
        <x:v>Connections</x:v>
      </x:c>
      <x:c r="B70" s="13" t="str">
        <x:v>Cable restraint supplies</x:v>
      </x:c>
      <x:c r="C70" s="17" t="n">
        <x:v>1</x:v>
      </x:c>
      <x:c r="D70" s="13" t="str">
        <x:v>pack</x:v>
      </x:c>
      <x:c r="E70" s="13" t="str">
        <x:v>Ties, reusable straps, labels and grommets; printed clamps where useful</x:v>
      </x:c>
      <x:c r="F70" s="15" t="n">
        <x:v>45</x:v>
      </x:c>
      <x:c r="G70" s="16" t="n">
        <x:f>IF(OR(H70="Owned",H70="Skip"),0,C70*F70)</x:f>
        <x:v>45</x:v>
      </x:c>
      <x:c r="H70" s="14" t="str">
        <x:v>Plan</x:v>
      </x:c>
      <x:c r="I70" s="13" t="str">
        <x:v>Local or online</x:v>
      </x:c>
      <x:c r="J70" s="13" t="str">
        <x:v>Planning allowance</x:v>
      </x:c>
      <x:c r="K70" s="2" t="str"/>
      <x:c r="L70" s="18" t="str">
        <x:v>https://www.hellermanntyton.co.uk/products/cable-ties-inside-serrated/t18r/116-01814</x:v>
      </x:c>
      <x:c r="M70" s="2" t="str">
        <x:v>56</x:v>
      </x:c>
    </x:row>
    <x:row r="71" ht="48" customHeight="1">
      <x:c r="A71" s="13" t="str">
        <x:v>Consumables</x:v>
      </x:c>
      <x:c r="B71" s="13" t="str">
        <x:v>Resistor + capacitor stock</x:v>
      </x:c>
      <x:c r="C71" s="17" t="n">
        <x:v>1</x:v>
      </x:c>
      <x:c r="D71" s="13" t="str">
        <x:v>small kit</x:v>
      </x:c>
      <x:c r="E71" s="13" t="str">
        <x:v>Common values; documented capacitor ratings and polarity</x:v>
      </x:c>
      <x:c r="F71" s="15" t="n">
        <x:v>80</x:v>
      </x:c>
      <x:c r="G71" s="16" t="n">
        <x:f>IF(OR(H71="Owned",H71="Skip"),0,C71*F71)</x:f>
        <x:v>80</x:v>
      </x:c>
      <x:c r="H71" s="14" t="str">
        <x:v>Plan</x:v>
      </x:c>
      <x:c r="I71" s="13" t="str">
        <x:v>Local or online</x:v>
      </x:c>
      <x:c r="J71" s="13" t="str">
        <x:v>Planning allowance</x:v>
      </x:c>
      <x:c r="K71" s="2" t="str"/>
      <x:c r="L71" s="18" t="str">
        <x:v>https://www.sparkfun.com/resistor-kit-1-4w-500-total.html</x:v>
      </x:c>
      <x:c r="M71" s="2" t="str">
        <x:v>57</x:v>
      </x:c>
    </x:row>
    <x:row r="72" ht="48" customHeight="1">
      <x:c r="A72" s="13" t="str">
        <x:v>Consumables</x:v>
      </x:c>
      <x:c r="B72" s="13" t="str">
        <x:v>Basic circuit parts</x:v>
      </x:c>
      <x:c r="C72" s="17" t="n">
        <x:v>1</x:v>
      </x:c>
      <x:c r="D72" s="13" t="str">
        <x:v>small kit</x:v>
      </x:c>
      <x:c r="E72" s="13" t="str">
        <x:v>LEDs, buttons, switches, pots, diodes and basic transistors; inventory first</x:v>
      </x:c>
      <x:c r="F72" s="15" t="n">
        <x:v>90</x:v>
      </x:c>
      <x:c r="G72" s="16" t="n">
        <x:f>IF(OR(H72="Owned",H72="Skip"),0,C72*F72)</x:f>
        <x:v>90</x:v>
      </x:c>
      <x:c r="H72" s="14" t="str">
        <x:v>Plan</x:v>
      </x:c>
      <x:c r="I72" s="13" t="str">
        <x:v>Local or online</x:v>
      </x:c>
      <x:c r="J72" s="13" t="str">
        <x:v>Planning allowance</x:v>
      </x:c>
      <x:c r="K72" s="2" t="str"/>
      <x:c r="L72" s="18" t="str">
        <x:v>https://www.sparkfun.com/sparkfun-beginner-parts-kit-1.html</x:v>
      </x:c>
      <x:c r="M72" s="2" t="str">
        <x:v>58</x:v>
      </x:c>
    </x:row>
    <x:row r="73" ht="48" customHeight="1">
      <x:c r="A73" s="13" t="str">
        <x:v>Consumables</x:v>
      </x:c>
      <x:c r="B73" s="13" t="str">
        <x:v>Electronics solder + flux</x:v>
      </x:c>
      <x:c r="C73" s="17" t="n">
        <x:v>1</x:v>
      </x:c>
      <x:c r="D73" s="13" t="str">
        <x:v>set</x:v>
      </x:c>
      <x:c r="E73" s="13" t="str">
        <x:v>Electronics-grade solder and compatible flux</x:v>
      </x:c>
      <x:c r="F73" s="15" t="n">
        <x:v>85</x:v>
      </x:c>
      <x:c r="G73" s="16" t="n">
        <x:f>IF(OR(H73="Owned",H73="Skip"),0,C73*F73)</x:f>
        <x:v>85</x:v>
      </x:c>
      <x:c r="H73" s="14" t="str">
        <x:v>Plan</x:v>
      </x:c>
      <x:c r="I73" s="13" t="str">
        <x:v>Local or online</x:v>
      </x:c>
      <x:c r="J73" s="13" t="str">
        <x:v>Planning allowance</x:v>
      </x:c>
      <x:c r="K73" s="2" t="str"/>
      <x:c r="L73" s="18" t="str">
        <x:v>https://il.farnell.com/chip-quik/smdswlf-020-2oz/small-spool-solder-wire-lead-free/dp/2804756</x:v>
      </x:c>
      <x:c r="M73" s="2" t="str">
        <x:v>59</x:v>
      </x:c>
    </x:row>
    <x:row r="74" ht="48" customHeight="1">
      <x:c r="A74" s="13" t="str">
        <x:v>Consumables</x:v>
      </x:c>
      <x:c r="B74" s="13" t="str">
        <x:v>Solder wick + pump</x:v>
      </x:c>
      <x:c r="C74" s="17" t="n">
        <x:v>1</x:v>
      </x:c>
      <x:c r="D74" s="13" t="str">
        <x:v>set</x:v>
      </x:c>
      <x:c r="E74" s="13" t="str">
        <x:v>For correction and rework</x:v>
      </x:c>
      <x:c r="F74" s="15" t="n">
        <x:v>40</x:v>
      </x:c>
      <x:c r="G74" s="16" t="n">
        <x:f>IF(OR(H74="Owned",H74="Skip"),0,C74*F74)</x:f>
        <x:v>40</x:v>
      </x:c>
      <x:c r="H74" s="14" t="str">
        <x:v>Plan</x:v>
      </x:c>
      <x:c r="I74" s="13" t="str">
        <x:v>Local or online</x:v>
      </x:c>
      <x:c r="J74" s="13" t="str">
        <x:v>Planning allowance</x:v>
      </x:c>
      <x:c r="K74" s="2" t="str"/>
      <x:c r="L74" s="18" t="str">
        <x:v>https://www.adafruit.com/product/149</x:v>
      </x:c>
      <x:c r="M74" s="2" t="str">
        <x:v>60</x:v>
      </x:c>
    </x:row>
    <x:row r="75" ht="48" customHeight="1">
      <x:c r="A75" s="13" t="str">
        <x:v>Consumables</x:v>
      </x:c>
      <x:c r="B75" s="13" t="str">
        <x:v>Assembly adhesives</x:v>
      </x:c>
      <x:c r="C75" s="17" t="n">
        <x:v>1</x:v>
      </x:c>
      <x:c r="D75" s="13" t="str">
        <x:v>small set</x:v>
      </x:c>
      <x:c r="E75" s="13" t="str">
        <x:v>Gel superglue, two-part epoxy, mounting tape; verify material compatibility</x:v>
      </x:c>
      <x:c r="F75" s="15" t="n">
        <x:v>65</x:v>
      </x:c>
      <x:c r="G75" s="16" t="n">
        <x:f>IF(OR(H75="Owned",H75="Skip"),0,C75*F75)</x:f>
        <x:v>65</x:v>
      </x:c>
      <x:c r="H75" s="14" t="str">
        <x:v>Plan</x:v>
      </x:c>
      <x:c r="I75" s="13" t="str">
        <x:v>Local or online</x:v>
      </x:c>
      <x:c r="J75" s="13" t="str">
        <x:v>Planning allowance</x:v>
      </x:c>
      <x:c r="K75" s="2" t="str"/>
      <x:c r="L75" s="18" t="str">
        <x:v>https://www.loctiteproducts.com/products/central-pdp.html/loctite-super-glue-gel-control/SAP_0201DGL029X7.html</x:v>
      </x:c>
      <x:c r="M75" s="2" t="str">
        <x:v>61</x:v>
      </x:c>
    </x:row>
    <x:row r="76" ht="48" customHeight="1">
      <x:c r="A76" s="13" t="str">
        <x:v>Consumables</x:v>
      </x:c>
      <x:c r="B76" s="13" t="str">
        <x:v>Cleaning supplies</x:v>
      </x:c>
      <x:c r="C76" s="17" t="n">
        <x:v>1</x:v>
      </x:c>
      <x:c r="D76" s="13" t="str">
        <x:v>small set</x:v>
      </x:c>
      <x:c r="E76" s="13" t="str">
        <x:v>One shared electronics-grade IPA 99.9% bottle, 2 dedicated lint-free cloths and plate-safe dish detergent. Included in this cleaning row; no duplicate printer bottle.</x:v>
      </x:c>
      <x:c r="F76" s="15" t="n">
        <x:v>40</x:v>
      </x:c>
      <x:c r="G76" s="16" t="n">
        <x:f>IF(OR(H76="Owned",H76="Skip"),0,C76*F76)</x:f>
        <x:v>40</x:v>
      </x:c>
      <x:c r="H76" s="14" t="str">
        <x:v>Plan</x:v>
      </x:c>
      <x:c r="I76" s="13" t="str">
        <x:v>Local or online</x:v>
      </x:c>
      <x:c r="J76" s="13" t="str">
        <x:v>Planning allowance</x:v>
      </x:c>
      <x:c r="K76" s="2" t="str"/>
      <x:c r="L76" s="18" t="str">
        <x:v>https://mgchemicals.com/products/electronics-maintenance/isopropyl-alcohol/99-9-isopropyl-alcohol/</x:v>
      </x:c>
      <x:c r="M76" s="2" t="str">
        <x:v>62</x:v>
      </x:c>
    </x:row>
    <x:row r="77" ht="48" customHeight="1">
      <x:c r="A77" s="13" t="str">
        <x:v>Organization</x:v>
      </x:c>
      <x:c r="B77" s="13" t="str">
        <x:v>Task light</x:v>
      </x:c>
      <x:c r="C77" s="17" t="n">
        <x:v>1</x:v>
      </x:c>
      <x:c r="D77" s="13" t="str">
        <x:v>unit</x:v>
      </x:c>
      <x:c r="E77" s="13" t="str">
        <x:v>Adjustable lamp with diffuse illumination</x:v>
      </x:c>
      <x:c r="F77" s="15" t="n">
        <x:v>180</x:v>
      </x:c>
      <x:c r="G77" s="16" t="n">
        <x:f>IF(OR(H77="Owned",H77="Skip"),0,C77*F77)</x:f>
        <x:v>180</x:v>
      </x:c>
      <x:c r="H77" s="14" t="str">
        <x:v>Check home</x:v>
      </x:c>
      <x:c r="I77" s="13" t="str">
        <x:v>Local or online</x:v>
      </x:c>
      <x:c r="J77" s="13" t="str">
        <x:v>Planning allowance</x:v>
      </x:c>
      <x:c r="K77" s="2" t="str"/>
      <x:c r="L77" s="18" t="str">
        <x:v>https://www.ikea.com/il/he/p/tertial-work-lamp-white-70355455/</x:v>
      </x:c>
      <x:c r="M77" s="2" t="str">
        <x:v>63</x:v>
      </x:c>
    </x:row>
    <x:row r="78" ht="48" customHeight="1">
      <x:c r="A78" s="13" t="str">
        <x:v>Organization</x:v>
      </x:c>
      <x:c r="B78" s="13" t="str">
        <x:v>Component drawers / boxes</x:v>
      </x:c>
      <x:c r="C78" s="17" t="n">
        <x:v>1</x:v>
      </x:c>
      <x:c r="D78" s="13" t="str">
        <x:v>set</x:v>
      </x:c>
      <x:c r="E78" s="13" t="str">
        <x:v>Separate hardware, connectors and electronics; label sizes and part numbers</x:v>
      </x:c>
      <x:c r="F78" s="15" t="n">
        <x:v>250</x:v>
      </x:c>
      <x:c r="G78" s="16" t="n">
        <x:f>IF(OR(H78="Owned",H78="Skip"),0,C78*F78)</x:f>
        <x:v>250</x:v>
      </x:c>
      <x:c r="H78" s="14" t="str">
        <x:v>Plan</x:v>
      </x:c>
      <x:c r="I78" s="13" t="str">
        <x:v>Local or online</x:v>
      </x:c>
      <x:c r="J78" s="13" t="str">
        <x:v>Planning allowance</x:v>
      </x:c>
      <x:c r="K78" s="2" t="str"/>
      <x:c r="L78" s="18" t="str">
        <x:v>https://www.bait-plus.co.il/product/מגירון-30-מגירות-stanley-1</x:v>
      </x:c>
      <x:c r="M78" s="2" t="str">
        <x:v>64</x:v>
      </x:c>
    </x:row>
    <x:row r="79" ht="48" customHeight="1">
      <x:c r="A79" s="13" t="str">
        <x:v>Organization</x:v>
      </x:c>
      <x:c r="B79" s="13" t="str">
        <x:v>Project trays</x:v>
      </x:c>
      <x:c r="C79" s="17" t="n">
        <x:v>3</x:v>
      </x:c>
      <x:c r="D79" s="13" t="str">
        <x:v>unit</x:v>
      </x:c>
      <x:c r="E79" s="13" t="str">
        <x:v>One tray per unfinished project</x:v>
      </x:c>
      <x:c r="F79" s="15" t="n">
        <x:v>30</x:v>
      </x:c>
      <x:c r="G79" s="16" t="n">
        <x:f>IF(OR(H79="Owned",H79="Skip"),0,C79*F79)</x:f>
        <x:v>90</x:v>
      </x:c>
      <x:c r="H79" s="14" t="str">
        <x:v>Check home</x:v>
      </x:c>
      <x:c r="I79" s="13" t="str">
        <x:v>Local or online</x:v>
      </x:c>
      <x:c r="J79" s="13" t="str">
        <x:v>Planning allowance</x:v>
      </x:c>
      <x:c r="K79" s="2" t="str"/>
      <x:c r="L79" s="18" t="str">
        <x:v>https://www.ikea.com/il/he/p/samla-box-transparent-40102978/</x:v>
      </x:c>
      <x:c r="M79" s="2" t="str">
        <x:v>65</x:v>
      </x:c>
    </x:row>
    <x:row r="80" ht="48" customHeight="1">
      <x:c r="A80" s="13" t="str">
        <x:v>Organization</x:v>
      </x:c>
      <x:c r="B80" s="13" t="str">
        <x:v>Fixture and test materials</x:v>
      </x:c>
      <x:c r="C80" s="17" t="n">
        <x:v>1</x:v>
      </x:c>
      <x:c r="D80" s="13" t="str">
        <x:v>small set</x:v>
      </x:c>
      <x:c r="E80" s="13" t="str">
        <x:v>Rigid calibration backing, matte sheet, painter’s tape; reuse work board and clamps</x:v>
      </x:c>
      <x:c r="F80" s="15" t="n">
        <x:v>60</x:v>
      </x:c>
      <x:c r="G80" s="16" t="n">
        <x:f>IF(OR(H80="Owned",H80="Skip"),0,C80*F80)</x:f>
        <x:v>60</x:v>
      </x:c>
      <x:c r="H80" s="14" t="str">
        <x:v>Check home</x:v>
      </x:c>
      <x:c r="I80" s="13" t="str">
        <x:v>Local or online</x:v>
      </x:c>
      <x:c r="J80" s="13" t="str">
        <x:v>Planning allowance</x:v>
      </x:c>
      <x:c r="K80" s="2" t="str"/>
      <x:c r="L80" s="18" t="str">
        <x:v>https://www.3m.com/3M/en_US/p/d/b00035531/</x:v>
      </x:c>
      <x:c r="M80" s="2" t="str">
        <x:v>66</x:v>
      </x:c>
    </x:row>
    <x:row r="81">
      <x:c r="A81" s="2"/>
      <x:c r="B81" s="2"/>
      <x:c r="C81" s="2"/>
      <x:c r="D81" s="2"/>
      <x:c r="E81" s="2"/>
      <x:c r="F81" s="2"/>
      <x:c r="G81" s="2"/>
      <x:c r="H81" s="2"/>
      <x:c r="I81" s="2"/>
      <x:c r="J81" s="2"/>
      <x:c r="K81" s="2"/>
      <x:c r="L81" s="2"/>
      <x:c r="M81" s="2"/>
    </x:row>
    <x:row r="82">
      <x:c r="A82" s="2"/>
      <x:c r="B82" s="2"/>
      <x:c r="C82" s="2"/>
      <x:c r="D82" s="2"/>
      <x:c r="E82" s="2"/>
      <x:c r="F82" s="2"/>
      <x:c r="G82" s="2"/>
      <x:c r="H82" s="2"/>
      <x:c r="I82" s="2"/>
      <x:c r="J82" s="2"/>
      <x:c r="K82" s="2"/>
      <x:c r="L82" s="2"/>
      <x:c r="M82" s="2"/>
    </x:row>
    <x:row r="83">
      <x:c r="A83" s="2"/>
      <x:c r="B83" s="2"/>
      <x:c r="C83" s="2"/>
      <x:c r="D83" s="2"/>
      <x:c r="E83" s="2"/>
      <x:c r="F83" s="2"/>
      <x:c r="G83" s="2"/>
      <x:c r="H83" s="2"/>
      <x:c r="I83" s="2"/>
      <x:c r="J83" s="2"/>
      <x:c r="K83" s="2"/>
      <x:c r="L83" s="2"/>
      <x:c r="M83" s="2"/>
    </x:row>
    <x:row r="84">
      <x:c r="A84" s="2"/>
      <x:c r="B84" s="2"/>
      <x:c r="C84" s="2"/>
      <x:c r="D84" s="2"/>
      <x:c r="E84" s="2"/>
      <x:c r="F84" s="2"/>
      <x:c r="G84" s="2"/>
      <x:c r="H84" s="2"/>
      <x:c r="I84" s="2"/>
      <x:c r="J84" s="2"/>
      <x:c r="K84" s="2"/>
      <x:c r="L84" s="2"/>
      <x:c r="M84" s="2"/>
    </x:row>
    <x:row r="85">
      <x:c r="A85" s="2"/>
      <x:c r="B85" s="2"/>
      <x:c r="C85" s="2"/>
      <x:c r="D85" s="2"/>
      <x:c r="E85" s="2"/>
      <x:c r="F85" s="2"/>
      <x:c r="G85" s="2"/>
      <x:c r="H85" s="2"/>
      <x:c r="I85" s="2"/>
      <x:c r="J85" s="2"/>
      <x:c r="K85" s="2"/>
      <x:c r="L85" s="2"/>
      <x:c r="M85" s="2"/>
    </x:row>
    <x:row r="86">
      <x:c r="A86" s="2"/>
      <x:c r="B86" s="2"/>
      <x:c r="C86" s="2"/>
      <x:c r="D86" s="2"/>
      <x:c r="E86" s="2"/>
      <x:c r="F86" s="2"/>
      <x:c r="G86" s="2"/>
      <x:c r="H86" s="2"/>
      <x:c r="I86" s="2"/>
      <x:c r="J86" s="2"/>
      <x:c r="K86" s="2"/>
      <x:c r="L86" s="2"/>
      <x:c r="M86" s="2"/>
    </x:row>
    <x:row r="87">
      <x:c r="A87" s="2"/>
      <x:c r="B87" s="2"/>
      <x:c r="C87" s="2"/>
      <x:c r="D87" s="2"/>
      <x:c r="E87" s="2"/>
      <x:c r="F87" s="2"/>
      <x:c r="G87" s="2"/>
      <x:c r="H87" s="2"/>
      <x:c r="I87" s="2"/>
      <x:c r="J87" s="2"/>
      <x:c r="K87" s="2"/>
      <x:c r="L87" s="2"/>
      <x:c r="M87" s="2"/>
    </x:row>
    <x:row r="88">
      <x:c r="A88" s="2"/>
      <x:c r="B88" s="2"/>
      <x:c r="C88" s="2"/>
      <x:c r="D88" s="2"/>
      <x:c r="E88" s="2"/>
      <x:c r="F88" s="2"/>
      <x:c r="G88" s="2"/>
      <x:c r="H88" s="2"/>
      <x:c r="I88" s="2"/>
      <x:c r="J88" s="2"/>
      <x:c r="K88" s="2"/>
      <x:c r="L88" s="2"/>
      <x:c r="M88" s="2"/>
    </x:row>
    <x:row r="89">
      <x:c r="A89" s="2"/>
      <x:c r="B89" s="2"/>
      <x:c r="C89" s="2"/>
      <x:c r="D89" s="2"/>
      <x:c r="E89" s="2"/>
      <x:c r="F89" s="2"/>
      <x:c r="G89" s="2"/>
      <x:c r="H89" s="2"/>
      <x:c r="I89" s="2"/>
      <x:c r="J89" s="2"/>
      <x:c r="K89" s="2"/>
      <x:c r="L89" s="2"/>
      <x:c r="M89" s="2"/>
    </x:row>
    <x:row r="90">
      <x:c r="A90" s="2"/>
      <x:c r="B90" s="2"/>
      <x:c r="C90" s="2"/>
      <x:c r="D90" s="2"/>
      <x:c r="E90" s="2"/>
      <x:c r="F90" s="2"/>
      <x:c r="G90" s="2"/>
      <x:c r="H90" s="2"/>
      <x:c r="I90" s="2"/>
      <x:c r="J90" s="2"/>
      <x:c r="K90" s="2"/>
      <x:c r="L90" s="2"/>
      <x:c r="M90" s="2"/>
    </x:row>
    <x:row r="91">
      <x:c r="A91" s="2"/>
      <x:c r="B91" s="2"/>
      <x:c r="C91" s="2"/>
      <x:c r="D91" s="2"/>
      <x:c r="E91" s="2"/>
      <x:c r="F91" s="2"/>
      <x:c r="G91" s="2"/>
      <x:c r="H91" s="2"/>
      <x:c r="I91" s="2"/>
      <x:c r="J91" s="2"/>
      <x:c r="K91" s="2"/>
      <x:c r="L91" s="2"/>
      <x:c r="M91" s="2"/>
    </x:row>
    <x:row r="92">
      <x:c r="A92" s="2"/>
      <x:c r="B92" s="2"/>
      <x:c r="C92" s="2"/>
      <x:c r="D92" s="2"/>
      <x:c r="E92" s="2"/>
      <x:c r="F92" s="2"/>
      <x:c r="G92" s="2"/>
      <x:c r="H92" s="2"/>
      <x:c r="I92" s="2"/>
      <x:c r="J92" s="2"/>
      <x:c r="K92" s="2"/>
      <x:c r="L92" s="2"/>
      <x:c r="M92" s="2"/>
    </x:row>
    <x:row r="93">
      <x:c r="A93" s="2"/>
      <x:c r="B93" s="2"/>
      <x:c r="C93" s="2"/>
      <x:c r="D93" s="2"/>
      <x:c r="E93" s="2"/>
      <x:c r="F93" s="2"/>
      <x:c r="G93" s="2"/>
      <x:c r="H93" s="2"/>
      <x:c r="I93" s="2"/>
      <x:c r="J93" s="2"/>
      <x:c r="K93" s="2"/>
      <x:c r="L93" s="2"/>
      <x:c r="M93" s="2"/>
    </x:row>
    <x:row r="94">
      <x:c r="A94" s="2"/>
      <x:c r="B94" s="2"/>
      <x:c r="C94" s="2"/>
      <x:c r="D94" s="2"/>
      <x:c r="E94" s="2"/>
      <x:c r="F94" s="2"/>
      <x:c r="G94" s="2"/>
      <x:c r="H94" s="2"/>
      <x:c r="I94" s="2"/>
      <x:c r="J94" s="2"/>
      <x:c r="K94" s="2"/>
      <x:c r="L94" s="2"/>
      <x:c r="M94" s="2"/>
    </x:row>
    <x:row r="95">
      <x:c r="A95" s="2"/>
      <x:c r="B95" s="2"/>
      <x:c r="C95" s="2"/>
      <x:c r="D95" s="2"/>
      <x:c r="E95" s="2"/>
      <x:c r="F95" s="2"/>
      <x:c r="G95" s="2"/>
      <x:c r="H95" s="2"/>
      <x:c r="I95" s="2"/>
      <x:c r="J95" s="2"/>
      <x:c r="K95" s="2"/>
      <x:c r="L95" s="2"/>
      <x:c r="M95" s="2"/>
    </x:row>
    <x:row r="96">
      <x:c r="A96" s="2"/>
      <x:c r="B96" s="2"/>
      <x:c r="C96" s="2"/>
      <x:c r="D96" s="2"/>
      <x:c r="E96" s="2"/>
      <x:c r="F96" s="2"/>
      <x:c r="G96" s="2"/>
      <x:c r="H96" s="2"/>
      <x:c r="I96" s="2"/>
      <x:c r="J96" s="2"/>
      <x:c r="K96" s="2"/>
      <x:c r="L96" s="2"/>
      <x:c r="M96" s="2"/>
    </x:row>
    <x:row r="97">
      <x:c r="A97" s="2"/>
      <x:c r="B97" s="2"/>
      <x:c r="C97" s="2"/>
      <x:c r="D97" s="2"/>
      <x:c r="E97" s="2"/>
      <x:c r="F97" s="2"/>
      <x:c r="G97" s="2"/>
      <x:c r="H97" s="2"/>
      <x:c r="I97" s="2"/>
      <x:c r="J97" s="2"/>
      <x:c r="K97" s="2"/>
      <x:c r="L97" s="2"/>
      <x:c r="M97" s="2"/>
    </x:row>
    <x:row r="98">
      <x:c r="A98" s="2"/>
      <x:c r="B98" s="2"/>
      <x:c r="C98" s="2"/>
      <x:c r="D98" s="2"/>
      <x:c r="E98" s="2"/>
      <x:c r="F98" s="2"/>
      <x:c r="G98" s="2"/>
      <x:c r="H98" s="2"/>
      <x:c r="I98" s="2"/>
      <x:c r="J98" s="2"/>
      <x:c r="K98" s="2"/>
      <x:c r="L98" s="2"/>
      <x:c r="M98" s="2"/>
    </x:row>
    <x:row r="99">
      <x:c r="A99" s="2"/>
      <x:c r="B99" s="2"/>
      <x:c r="C99" s="2"/>
      <x:c r="D99" s="2"/>
      <x:c r="E99" s="2"/>
      <x:c r="F99" s="2"/>
      <x:c r="G99" s="2"/>
      <x:c r="H99" s="2"/>
      <x:c r="I99" s="2"/>
      <x:c r="J99" s="2"/>
      <x:c r="K99" s="2"/>
      <x:c r="L99" s="2"/>
      <x:c r="M99" s="2"/>
    </x:row>
    <x:row r="100">
      <x:c r="A100" s="2"/>
      <x:c r="B100" s="2"/>
      <x:c r="C100" s="2"/>
      <x:c r="D100" s="2"/>
      <x:c r="E100" s="2"/>
      <x:c r="F100" s="2"/>
      <x:c r="G100" s="2"/>
      <x:c r="H100" s="2"/>
      <x:c r="I100" s="2"/>
      <x:c r="J100" s="2"/>
      <x:c r="K100" s="2"/>
      <x:c r="L100" s="2"/>
      <x:c r="M100" s="2"/>
    </x:row>
    <x:row r="101">
      <x:c r="A101" s="2"/>
      <x:c r="B101" s="2"/>
      <x:c r="C101" s="2"/>
      <x:c r="D101" s="2"/>
      <x:c r="E101" s="2"/>
      <x:c r="F101" s="2"/>
      <x:c r="G101" s="2"/>
      <x:c r="H101" s="2"/>
      <x:c r="I101" s="2"/>
      <x:c r="J101" s="2"/>
      <x:c r="K101" s="2"/>
      <x:c r="L101" s="2"/>
      <x:c r="M101" s="2"/>
    </x:row>
    <x:row r="102">
      <x:c r="A102" s="2"/>
      <x:c r="B102" s="2"/>
      <x:c r="C102" s="2"/>
      <x:c r="D102" s="2"/>
      <x:c r="E102" s="2"/>
      <x:c r="F102" s="2"/>
      <x:c r="G102" s="2"/>
      <x:c r="H102" s="2"/>
      <x:c r="I102" s="2"/>
      <x:c r="J102" s="2"/>
      <x:c r="K102" s="2"/>
      <x:c r="L102" s="2"/>
      <x:c r="M102" s="2"/>
    </x:row>
    <x:row r="103">
      <x:c r="A103" s="2"/>
      <x:c r="B103" s="2"/>
      <x:c r="C103" s="2"/>
      <x:c r="D103" s="2"/>
      <x:c r="E103" s="2"/>
      <x:c r="F103" s="2"/>
      <x:c r="G103" s="2"/>
      <x:c r="H103" s="2"/>
      <x:c r="I103" s="2"/>
      <x:c r="J103" s="2"/>
      <x:c r="K103" s="2"/>
      <x:c r="L103" s="2"/>
      <x:c r="M103" s="2"/>
    </x:row>
    <x:row r="104">
      <x:c r="A104" s="2"/>
      <x:c r="B104" s="2"/>
      <x:c r="C104" s="2"/>
      <x:c r="D104" s="2"/>
      <x:c r="E104" s="2"/>
      <x:c r="F104" s="2"/>
      <x:c r="G104" s="2"/>
      <x:c r="H104" s="2"/>
      <x:c r="I104" s="2"/>
      <x:c r="J104" s="2"/>
      <x:c r="K104" s="2"/>
      <x:c r="L104" s="2"/>
      <x:c r="M104" s="2"/>
    </x:row>
    <x:row r="105">
      <x:c r="A105" s="2"/>
      <x:c r="B105" s="2"/>
      <x:c r="C105" s="2"/>
      <x:c r="D105" s="2"/>
      <x:c r="E105" s="2"/>
      <x:c r="F105" s="2"/>
      <x:c r="G105" s="2"/>
      <x:c r="H105" s="2"/>
      <x:c r="I105" s="2"/>
      <x:c r="J105" s="2"/>
      <x:c r="K105" s="2"/>
      <x:c r="L105" s="2"/>
      <x:c r="M105" s="2"/>
    </x:row>
    <x:row r="106">
      <x:c r="A106" s="2"/>
      <x:c r="B106" s="2"/>
      <x:c r="C106" s="2"/>
      <x:c r="D106" s="2"/>
      <x:c r="E106" s="2"/>
      <x:c r="F106" s="2"/>
      <x:c r="G106" s="2"/>
      <x:c r="H106" s="2"/>
      <x:c r="I106" s="2"/>
      <x:c r="J106" s="2"/>
      <x:c r="K106" s="2"/>
      <x:c r="L106" s="2"/>
      <x:c r="M106" s="2"/>
    </x:row>
    <x:row r="107">
      <x:c r="A107" s="2"/>
      <x:c r="B107" s="2"/>
      <x:c r="C107" s="2"/>
      <x:c r="D107" s="2"/>
      <x:c r="E107" s="2"/>
      <x:c r="F107" s="2"/>
      <x:c r="G107" s="2"/>
      <x:c r="H107" s="2"/>
      <x:c r="I107" s="2"/>
      <x:c r="J107" s="2"/>
      <x:c r="K107" s="2"/>
      <x:c r="L107" s="2"/>
      <x:c r="M107" s="2"/>
    </x:row>
    <x:row r="108">
      <x:c r="A108" s="2"/>
      <x:c r="B108" s="2"/>
      <x:c r="C108" s="2"/>
      <x:c r="D108" s="2"/>
      <x:c r="E108" s="2"/>
      <x:c r="F108" s="2"/>
      <x:c r="G108" s="2"/>
      <x:c r="H108" s="2"/>
      <x:c r="I108" s="2"/>
      <x:c r="J108" s="2"/>
      <x:c r="K108" s="2"/>
      <x:c r="L108" s="2"/>
      <x:c r="M108" s="2"/>
    </x:row>
    <x:row r="109">
      <x:c r="A109" s="2"/>
      <x:c r="B109" s="2"/>
      <x:c r="C109" s="2"/>
      <x:c r="D109" s="2"/>
      <x:c r="E109" s="2"/>
      <x:c r="F109" s="2"/>
      <x:c r="G109" s="2"/>
      <x:c r="H109" s="2"/>
      <x:c r="I109" s="2"/>
      <x:c r="J109" s="2"/>
      <x:c r="K109" s="2"/>
      <x:c r="L109" s="2"/>
      <x:c r="M109" s="2"/>
    </x:row>
    <x:row r="110">
      <x:c r="A110" s="2"/>
      <x:c r="B110" s="2"/>
      <x:c r="C110" s="2"/>
      <x:c r="D110" s="2"/>
      <x:c r="E110" s="2"/>
      <x:c r="F110" s="2"/>
      <x:c r="G110" s="2"/>
      <x:c r="H110" s="2"/>
      <x:c r="I110" s="2"/>
      <x:c r="J110" s="2"/>
      <x:c r="K110" s="2"/>
      <x:c r="L110" s="2"/>
      <x:c r="M110" s="2"/>
    </x:row>
    <x:row r="111">
      <x:c r="A111" s="2"/>
      <x:c r="B111" s="2"/>
      <x:c r="C111" s="2"/>
      <x:c r="D111" s="2"/>
      <x:c r="E111" s="2"/>
      <x:c r="F111" s="2"/>
      <x:c r="G111" s="2"/>
      <x:c r="H111" s="2"/>
      <x:c r="I111" s="2"/>
      <x:c r="J111" s="2"/>
      <x:c r="K111" s="2"/>
      <x:c r="L111" s="2"/>
      <x:c r="M111" s="2"/>
    </x:row>
    <x:row r="112">
      <x:c r="A112" s="2"/>
      <x:c r="B112" s="2"/>
      <x:c r="C112" s="2"/>
      <x:c r="D112" s="2"/>
      <x:c r="E112" s="2"/>
      <x:c r="F112" s="2"/>
      <x:c r="G112" s="2"/>
      <x:c r="H112" s="2"/>
      <x:c r="I112" s="2"/>
      <x:c r="J112" s="2"/>
      <x:c r="K112" s="2"/>
      <x:c r="L112" s="2"/>
      <x:c r="M112" s="2"/>
    </x:row>
    <x:row r="113">
      <x:c r="A113" s="2"/>
      <x:c r="B113" s="2"/>
      <x:c r="C113" s="2"/>
      <x:c r="D113" s="2"/>
      <x:c r="E113" s="2"/>
      <x:c r="F113" s="2"/>
      <x:c r="G113" s="2"/>
      <x:c r="H113" s="2"/>
      <x:c r="I113" s="2"/>
      <x:c r="J113" s="2"/>
      <x:c r="K113" s="2"/>
      <x:c r="L113" s="2"/>
      <x:c r="M113" s="2"/>
    </x:row>
    <x:row r="114">
      <x:c r="A114" s="2"/>
      <x:c r="B114" s="2"/>
      <x:c r="C114" s="2"/>
      <x:c r="D114" s="2"/>
      <x:c r="E114" s="2"/>
      <x:c r="F114" s="2"/>
      <x:c r="G114" s="2"/>
      <x:c r="H114" s="2"/>
      <x:c r="I114" s="2"/>
      <x:c r="J114" s="2"/>
      <x:c r="K114" s="2"/>
      <x:c r="L114" s="2"/>
      <x:c r="M114" s="2"/>
    </x:row>
    <x:row r="115">
      <x:c r="A115" s="2"/>
      <x:c r="B115" s="2"/>
      <x:c r="C115" s="2"/>
      <x:c r="D115" s="2"/>
      <x:c r="E115" s="2"/>
      <x:c r="F115" s="2"/>
      <x:c r="G115" s="2"/>
      <x:c r="H115" s="2"/>
      <x:c r="I115" s="2"/>
      <x:c r="J115" s="2"/>
      <x:c r="K115" s="2"/>
      <x:c r="L115" s="2"/>
      <x:c r="M115" s="2"/>
    </x:row>
    <x:row r="116">
      <x:c r="A116" s="2"/>
      <x:c r="B116" s="2"/>
      <x:c r="C116" s="2"/>
      <x:c r="D116" s="2"/>
      <x:c r="E116" s="2"/>
      <x:c r="F116" s="2"/>
      <x:c r="G116" s="2"/>
      <x:c r="H116" s="2"/>
      <x:c r="I116" s="2"/>
      <x:c r="J116" s="2"/>
      <x:c r="K116" s="2"/>
      <x:c r="L116" s="2"/>
      <x:c r="M116" s="2"/>
    </x:row>
    <x:row r="117">
      <x:c r="A117" s="2"/>
      <x:c r="B117" s="2"/>
      <x:c r="C117" s="2"/>
      <x:c r="D117" s="2"/>
      <x:c r="E117" s="2"/>
      <x:c r="F117" s="2"/>
      <x:c r="G117" s="2"/>
      <x:c r="H117" s="2"/>
      <x:c r="I117" s="2"/>
      <x:c r="J117" s="2"/>
      <x:c r="K117" s="2"/>
      <x:c r="L117" s="2"/>
      <x:c r="M117" s="2"/>
    </x:row>
    <x:row r="118">
      <x:c r="A118" s="2"/>
      <x:c r="B118" s="2"/>
      <x:c r="C118" s="2"/>
      <x:c r="D118" s="2"/>
      <x:c r="E118" s="2"/>
      <x:c r="F118" s="2"/>
      <x:c r="G118" s="2"/>
      <x:c r="H118" s="2"/>
      <x:c r="I118" s="2"/>
      <x:c r="J118" s="2"/>
      <x:c r="K118" s="2"/>
      <x:c r="L118" s="2"/>
      <x:c r="M118" s="2"/>
    </x:row>
    <x:row r="119">
      <x:c r="A119" s="2"/>
      <x:c r="B119" s="2"/>
      <x:c r="C119" s="2"/>
      <x:c r="D119" s="2"/>
      <x:c r="E119" s="2"/>
      <x:c r="F119" s="2"/>
      <x:c r="G119" s="2"/>
      <x:c r="H119" s="2"/>
      <x:c r="I119" s="2"/>
      <x:c r="J119" s="2"/>
      <x:c r="K119" s="2"/>
      <x:c r="L119" s="2"/>
      <x:c r="M119" s="2"/>
    </x:row>
    <x:row r="120">
      <x:c r="A120" s="2"/>
      <x:c r="B120" s="2"/>
      <x:c r="C120" s="2"/>
      <x:c r="D120" s="2"/>
      <x:c r="E120" s="2"/>
      <x:c r="F120" s="2"/>
      <x:c r="G120" s="2"/>
      <x:c r="H120" s="2"/>
      <x:c r="I120" s="2"/>
      <x:c r="J120" s="2"/>
      <x:c r="K120" s="2"/>
      <x:c r="L120" s="2"/>
      <x:c r="M120" s="2"/>
    </x:row>
  </x:sheetData>
  <x:conditionalFormatting sqref="B11:B11">
    <x:cfRule type="cellIs" dxfId="0" priority="1" operator="lessThan">
      <x:formula>0</x:formula>
    </x:cfRule>
  </x:conditionalFormatting>
  <x:conditionalFormatting sqref="H15:H80">
    <x:cfRule type="containsText" dxfId="1" priority="2" operator="containsText" text="Specify"/>
    <x:cfRule type="containsText" dxfId="2" priority="3" operator="containsText" text="Received"/>
  </x:conditionalFormatting>
  <x:dataValidations count="2">
    <x:dataValidation type="list" sqref="H15:H80">
      <x:formula1>"Plan,Compare,Specify,Check home,Check inventory,Ordered,Received,Owned,Skip"</x:formula1>
    </x:dataValidation>
    <x:dataValidation type="whole" operator="between" sqref="C15:C80">
      <x:formula1>0</x:formula1>
      <x:formula2>10000</x:formula2>
    </x:dataValidation>
  </x:dataValidations>
  <x:pageMargins left="0.7" right="0.7" top="0.75" bottom="0.75" header="0.3" footer="0.3"/>
  <x:tableParts count="1">
    <x:tablePart xmlns:r="http://schemas.openxmlformats.org/officeDocument/2006/relationships" r:id="R70839d675e1b4e75"/>
  </x:tableParts>
</x:worksheet>
</file>

<file path=xl/worksheets/sheet2.xml><?xml version="1.0" encoding="utf-8"?>
<x:worksheet xmlns:x="http://schemas.openxmlformats.org/spreadsheetml/2006/main">
  <x:sheetPr>
    <x:tabColor rgb="FFAEB9C2"/>
  </x:sheetPr>
  <x:sheetViews>
    <x:sheetView showGridLines="0" workbookViewId="0">
      <x:pane ySplit="6" topLeftCell="A7" activePane="bottomLeft" state="frozen"/>
    </x:sheetView>
  </x:sheetViews>
  <x:sheetFormatPr defaultRowHeight="15"/>
  <x:cols>
    <x:col min="1" max="1" width="21" hidden="0" customWidth="1"/>
    <x:col min="2" max="2" width="34" hidden="0" customWidth="1"/>
    <x:col min="3" max="3" width="72" hidden="0" customWidth="1"/>
    <x:col min="4" max="4" width="29" hidden="0" customWidth="1"/>
    <x:col min="5" max="5" width="43" hidden="0" customWidth="1"/>
    <x:col min="6" max="6" width="3" hidden="0" customWidth="1"/>
    <x:col min="7" max="7" width="90" hidden="0" customWidth="1"/>
    <x:col min="8" max="8" width="14" hidden="0" customWidth="1"/>
  </x:cols>
  <x:sheetData>
    <x:row r="1">
      <x:c r="A1" s="2"/>
      <x:c r="B1" s="2"/>
      <x:c r="C1" s="2"/>
      <x:c r="D1" s="2"/>
      <x:c r="E1" s="2"/>
      <x:c r="F1" s="2"/>
      <x:c r="G1" s="2"/>
      <x:c r="H1" s="2"/>
      <x:c r="I1" s="2"/>
      <x:c r="J1" s="2"/>
      <x:c r="K1" s="2"/>
      <x:c r="L1" s="2"/>
      <x:c r="M1" s="2"/>
    </x:row>
    <x:row r="2">
      <x:c r="A2" s="3" t="str">
        <x:v>Project-dependent purchases</x:v>
      </x:c>
      <x:c r="B2" s="2"/>
      <x:c r="C2" s="2"/>
      <x:c r="D2" s="2"/>
      <x:c r="E2" s="2"/>
      <x:c r="F2" s="2"/>
      <x:c r="G2" s="2"/>
      <x:c r="H2" s="2"/>
      <x:c r="I2" s="2"/>
      <x:c r="J2" s="2"/>
      <x:c r="K2" s="2"/>
      <x:c r="L2" s="2"/>
      <x:c r="M2" s="2"/>
    </x:row>
    <x:row r="3">
      <x:c r="A3" s="2" t="str">
        <x:v>Printer selected: P2S Combo + AMS 2 Pro. Full comparison includes all project decisions and printer maintenance additions.</x:v>
      </x:c>
      <x:c r="B3" s="2"/>
      <x:c r="C3" s="2"/>
      <x:c r="D3" s="2"/>
      <x:c r="E3" s="2"/>
      <x:c r="F3" s="2"/>
      <x:c r="G3" s="2"/>
      <x:c r="H3" s="2"/>
      <x:c r="I3" s="2"/>
      <x:c r="J3" s="2"/>
      <x:c r="K3" s="2"/>
      <x:c r="L3" s="2"/>
      <x:c r="M3" s="2"/>
    </x:row>
    <x:row r="4">
      <x:c r="A4" s="2" t="str">
        <x:v>Project rows are capability summaries, not additional purchases on top of the detailed electronics rows.</x:v>
      </x:c>
      <x:c r="B4" s="2"/>
      <x:c r="C4" s="2"/>
      <x:c r="D4" s="2"/>
      <x:c r="E4" s="2"/>
      <x:c r="F4" s="2"/>
      <x:c r="G4" s="2"/>
      <x:c r="H4" s="2"/>
      <x:c r="I4" s="2"/>
      <x:c r="J4" s="2"/>
      <x:c r="K4" s="2"/>
      <x:c r="L4" s="2"/>
      <x:c r="M4" s="2"/>
    </x:row>
    <x:row r="5">
      <x:c r="A5" s="2"/>
      <x:c r="B5" s="2"/>
      <x:c r="C5" s="2"/>
      <x:c r="D5" s="2"/>
      <x:c r="E5" s="2"/>
      <x:c r="F5" s="2"/>
      <x:c r="G5" s="2"/>
      <x:c r="H5" s="2"/>
      <x:c r="I5" s="2"/>
      <x:c r="J5" s="2"/>
      <x:c r="K5" s="2"/>
      <x:c r="L5" s="2"/>
      <x:c r="M5" s="2"/>
    </x:row>
    <x:row r="6" ht="30" customHeight="1">
      <x:c r="A6" s="12" t="str">
        <x:v>Area</x:v>
      </x:c>
      <x:c r="B6" s="12" t="str">
        <x:v>Item / decision</x:v>
      </x:c>
      <x:c r="C6" s="12" t="str">
        <x:v>Specification or prerequisite</x:v>
      </x:c>
      <x:c r="D6" s="12" t="str">
        <x:v>When</x:v>
      </x:c>
      <x:c r="E6" s="12" t="str">
        <x:v>Budget treatment</x:v>
      </x:c>
      <x:c r="F6" s="2"/>
      <x:c r="G6" s="2" t="str">
        <x:v>Reference URL</x:v>
      </x:c>
      <x:c r="H6" s="34" t="str">
        <x:v>Research ID</x:v>
      </x:c>
      <x:c r="I6" s="2"/>
      <x:c r="J6" s="2"/>
      <x:c r="K6" s="2"/>
      <x:c r="L6" s="2"/>
      <x:c r="M6" s="2"/>
    </x:row>
    <x:row r="7" ht="48" customHeight="1">
      <x:c r="A7" s="13" t="str">
        <x:v>Electronics starter</x:v>
      </x:c>
      <x:c r="B7" s="13" t="str">
        <x:v>Boards, sensors and motors: none owned</x:v>
      </x:c>
      <x:c r="C7" s="13" t="str">
        <x:v>Buy matched kit B1 and two FS90 M1; build M2 hookup. See Electronics starter for quantities and alternatives.</x:v>
      </x:c>
      <x:c r="D7" s="13" t="str">
        <x:v>Buy first</x:v>
      </x:c>
      <x:c r="E7" s="13" t="str">
        <x:v>Additional to core tools allowance</x:v>
      </x:c>
      <x:c r="F7" s="2" t="str"/>
      <x:c r="G7" s="18" t="str">
        <x:v>https://www.mouser.co.il/en/ProductDetail/Arduino/AKX00069?qs=i8QVZAFTkqQAxzOkAzGAJA%3D%3D</x:v>
      </x:c>
      <x:c r="H7" s="2" t="str">
        <x:v>P1</x:v>
      </x:c>
      <x:c r="I7" s="2"/>
      <x:c r="J7" s="2"/>
      <x:c r="K7" s="2"/>
      <x:c r="L7" s="2"/>
      <x:c r="M7" s="2"/>
    </x:row>
    <x:row r="8" ht="48" customHeight="1">
      <x:c r="A8" s="13" t="str">
        <x:v>Room setup</x:v>
      </x:c>
      <x:c r="B8" s="13" t="str">
        <x:v>Bench and printer stand</x:v>
      </x:c>
      <x:c r="C8" s="13" t="str">
        <x:v>Reuse a rigid bench or printer stand sized for P2S, AMS 2 Pro, service access and exhaust routing.</x:v>
      </x:c>
      <x:c r="D8" s="13" t="str">
        <x:v>Before installation</x:v>
      </x:c>
      <x:c r="E8" s="13" t="str">
        <x:v>Separate furniture quote</x:v>
      </x:c>
      <x:c r="F8" s="2" t="str"/>
      <x:c r="G8" s="18" t="str">
        <x:v>https://www.ikea.com/il/he/p/bror-work-bench-black-pine-plywood-30333286/</x:v>
      </x:c>
      <x:c r="H8" s="2" t="str">
        <x:v>P2</x:v>
      </x:c>
      <x:c r="I8" s="2"/>
      <x:c r="J8" s="2"/>
      <x:c r="K8" s="2"/>
      <x:c r="L8" s="2"/>
      <x:c r="M8" s="2"/>
    </x:row>
    <x:row r="9" ht="48" customHeight="1">
      <x:c r="A9" s="13" t="str">
        <x:v>Room setup</x:v>
      </x:c>
      <x:c r="B9" s="13" t="str">
        <x:v>Printer ventilation / extraction installation</x:v>
      </x:c>
      <x:c r="C9" s="13" t="str">
        <x:v>P2S-compatible exhaust route, duct and window fitting; enclosure alone is not a complete system. Resolve before ASA.</x:v>
      </x:c>
      <x:c r="D9" s="13" t="str">
        <x:v>Before regular printing</x:v>
      </x:c>
      <x:c r="E9" s="13" t="str">
        <x:v>Separate quote; not in core total</x:v>
      </x:c>
      <x:c r="F9" s="2" t="str"/>
      <x:c r="G9" s="18" t="str">
        <x:v>https://wiki.bambulab.com/en/p2s/manual/external-exhaust-fan-kit</x:v>
      </x:c>
      <x:c r="H9" s="2" t="str">
        <x:v>P3</x:v>
      </x:c>
      <x:c r="I9" s="2"/>
      <x:c r="J9" s="2"/>
      <x:c r="K9" s="2"/>
      <x:c r="L9" s="2"/>
      <x:c r="M9" s="2"/>
    </x:row>
    <x:row r="10" ht="48" customHeight="1">
      <x:c r="A10" s="13" t="str">
        <x:v>Optional</x:v>
      </x:c>
      <x:c r="B10" s="13" t="str">
        <x:v>Separate filament dryer</x:v>
      </x:c>
      <x:c r="C10" s="13" t="str">
        <x:v>Use included AMS 2 Pro drying first. Separate S2 / Space Pi / S4 only for added capacity or unmet material drying requirements.</x:v>
      </x:c>
      <x:c r="D10" s="13" t="str">
        <x:v>Defer</x:v>
      </x:c>
      <x:c r="E10" s="13" t="str">
        <x:v>0 initial separate dryer purchase</x:v>
      </x:c>
      <x:c r="F10" s="2" t="str"/>
      <x:c r="G10" s="18" t="str">
        <x:v>https://bambu-lab-jp.myshopify.com/en/products/ams-2-pro</x:v>
      </x:c>
      <x:c r="H10" s="2" t="str">
        <x:v>P4</x:v>
      </x:c>
      <x:c r="I10" s="2"/>
      <x:c r="J10" s="2"/>
      <x:c r="K10" s="2"/>
      <x:c r="L10" s="2"/>
      <x:c r="M10" s="2"/>
    </x:row>
    <x:row r="11" ht="48" customHeight="1">
      <x:c r="A11" s="13" t="str">
        <x:v>Optional</x:v>
      </x:c>
      <x:c r="B11" s="13" t="str">
        <x:v>Hacksaw and suitable blades</x:v>
      </x:c>
      <x:c r="C11" s="13" t="str">
        <x:v>For ordinary metal/plastic stock; use pre-cut precision shafts.</x:v>
      </x:c>
      <x:c r="D11" s="13" t="str">
        <x:v>When cutting stock</x:v>
      </x:c>
      <x:c r="E11" s="13" t="str">
        <x:v>Can defer by ordering cut lengths</x:v>
      </x:c>
      <x:c r="F11" s="2" t="str"/>
      <x:c r="G11" s="18" t="str">
        <x:v>https://www.stanleytools.com/product/stht20139l/rubber-grip-hacksaw</x:v>
      </x:c>
      <x:c r="H11" s="2" t="str">
        <x:v>P5</x:v>
      </x:c>
      <x:c r="I11" s="2"/>
      <x:c r="J11" s="2"/>
      <x:c r="K11" s="2"/>
      <x:c r="L11" s="2"/>
      <x:c r="M11" s="2"/>
    </x:row>
    <x:row r="12" ht="48" customHeight="1">
      <x:c r="A12" s="13" t="str">
        <x:v>Connections</x:v>
      </x:c>
      <x:c r="B12" s="13" t="str">
        <x:v>Matched crimp tool and contacts</x:v>
      </x:c>
      <x:c r="C12" s="13" t="str">
        <x:v>Choose connector family, contact part number, wire range and compatible die first.</x:v>
      </x:c>
      <x:c r="D12" s="13" t="str">
        <x:v>When making your own harnesses</x:v>
      </x:c>
      <x:c r="E12" s="13" t="str">
        <x:v>Core list uses premade leads initially</x:v>
      </x:c>
      <x:c r="F12" s="2" t="str"/>
      <x:c r="G12" s="18" t="str">
        <x:v>https://www.engineertools-jp.com/product-page/pa-09-connector-crimping-pliers</x:v>
      </x:c>
      <x:c r="H12" s="2" t="str">
        <x:v>P6</x:v>
      </x:c>
      <x:c r="I12" s="2"/>
      <x:c r="J12" s="2"/>
      <x:c r="K12" s="2"/>
      <x:c r="L12" s="2"/>
      <x:c r="M12" s="2"/>
    </x:row>
    <x:row r="13" ht="48" customHeight="1">
      <x:c r="A13" s="13" t="str">
        <x:v>Robotics</x:v>
      </x:c>
      <x:c r="B13" s="13" t="str">
        <x:v>One documented actuator family</x:v>
      </x:c>
      <x:c r="C13" s="13" t="str">
        <x:v>For leg experiments: OpenRB-150 Tutorial Kit + XL330; test one joint before ordering more. Electronics starter M3–M4.</x:v>
      </x:c>
      <x:c r="D13" s="13" t="str">
        <x:v>First leg prototype</x:v>
      </x:c>
      <x:c r="E13" s="13" t="str">
        <x:v>Model and price depend on design</x:v>
      </x:c>
      <x:c r="F13" s="2" t="str"/>
      <x:c r="G13" s="18" t="str">
        <x:v>https://robotis.co.uk/robotis-openrb-150-starter-kit-12852.html</x:v>
      </x:c>
      <x:c r="H13" s="2" t="str">
        <x:v>P7</x:v>
      </x:c>
      <x:c r="I13" s="2"/>
      <x:c r="J13" s="2"/>
      <x:c r="K13" s="2"/>
      <x:c r="L13" s="2"/>
      <x:c r="M13" s="2"/>
    </x:row>
    <x:row r="14" ht="48" customHeight="1">
      <x:c r="A14" s="13" t="str">
        <x:v>Robotics</x:v>
      </x:c>
      <x:c r="B14" s="13" t="str">
        <x:v>Actuator completion parts</x:v>
      </x:c>
      <x:c r="C14" s="13" t="str">
        <x:v>Matching horn/spline, retaining screw, brackets, pivots, spacers and retention.</x:v>
      </x:c>
      <x:c r="D14" s="13" t="str">
        <x:v>With actuator purchase</x:v>
      </x:c>
      <x:c r="E14" s="13" t="str">
        <x:v>Buy matched parts, not random sets</x:v>
      </x:c>
      <x:c r="F14" s="2" t="str"/>
      <x:c r="G14" s="18" t="str">
        <x:v>https://robotis.us/products/hnx330-n102-5pcs</x:v>
      </x:c>
      <x:c r="H14" s="2" t="str">
        <x:v>P8</x:v>
      </x:c>
      <x:c r="I14" s="2"/>
      <x:c r="J14" s="2"/>
      <x:c r="K14" s="2"/>
      <x:c r="L14" s="2"/>
      <x:c r="M14" s="2"/>
    </x:row>
    <x:row r="15" ht="48" customHeight="1">
      <x:c r="A15" s="13" t="str">
        <x:v>Robotics</x:v>
      </x:c>
      <x:c r="B15" s="13" t="str">
        <x:v>Actuator power harness</x:v>
      </x:c>
      <x:c r="C15" s="13" t="str">
        <x:v>Rated wire, connectors, distribution, protection and DC-rated accessible cutoff.</x:v>
      </x:c>
      <x:c r="D15" s="13" t="str">
        <x:v>Before loaded/multi-joint motion</x:v>
      </x:c>
      <x:c r="E15" s="13" t="str">
        <x:v>Determine voltage and simultaneous current first</x:v>
      </x:c>
      <x:c r="F15" s="2" t="str"/>
      <x:c r="G15" s="18" t="str">
        <x:v>https://emanual.robotis.com/docs/en/parts/controller/openrb-150/</x:v>
      </x:c>
      <x:c r="H15" s="2" t="str">
        <x:v>P9</x:v>
      </x:c>
      <x:c r="I15" s="2"/>
      <x:c r="J15" s="2"/>
      <x:c r="K15" s="2"/>
      <x:c r="L15" s="2"/>
      <x:c r="M15" s="2"/>
    </x:row>
    <x:row r="16" ht="48" customHeight="1">
      <x:c r="A16" s="13" t="str">
        <x:v>Robotics</x:v>
      </x:c>
      <x:c r="B16" s="13" t="str">
        <x:v>Driver / multi-channel interface</x:v>
      </x:c>
      <x:c r="C16" s="13" t="str">
        <x:v>Only if needed by selected actuator and controller.</x:v>
      </x:c>
      <x:c r="D16" s="13" t="str">
        <x:v>After interface choice</x:v>
      </x:c>
      <x:c r="E16" s="13" t="str">
        <x:v>Avoid duplicate or incompatible drivers</x:v>
      </x:c>
      <x:c r="F16" s="2" t="str"/>
      <x:c r="G16" s="18" t="str">
        <x:v>https://emanual.robotis.com/docs/en/parts/controller/openrb-150/</x:v>
      </x:c>
      <x:c r="H16" s="2" t="str">
        <x:v>P10</x:v>
      </x:c>
      <x:c r="I16" s="2"/>
      <x:c r="J16" s="2"/>
      <x:c r="K16" s="2"/>
      <x:c r="L16" s="2"/>
      <x:c r="M16" s="2"/>
    </x:row>
    <x:row r="17" ht="48" customHeight="1">
      <x:c r="A17" s="13" t="str">
        <x:v>Robotics</x:v>
      </x:c>
      <x:c r="B17" s="13" t="str">
        <x:v>Leg/body fixture</x:v>
      </x:c>
      <x:c r="C17" s="13" t="str">
        <x:v>Build from core baseboard, clamps and printed mounts; allow load attachment and power access.</x:v>
      </x:c>
      <x:c r="D17" s="13" t="str">
        <x:v>Before loaded testing</x:v>
      </x:c>
      <x:c r="E17" s="13" t="str">
        <x:v>Use core stock where possible</x:v>
      </x:c>
      <x:c r="F17" s="2" t="str"/>
      <x:c r="G17" s="18" t="str">
        <x:v>https://emanual.robotis.com/docs/en/dxl/x/xl330-m288/</x:v>
      </x:c>
      <x:c r="H17" s="2" t="str">
        <x:v>P11</x:v>
      </x:c>
      <x:c r="I17" s="2"/>
      <x:c r="J17" s="2"/>
      <x:c r="K17" s="2"/>
      <x:c r="L17" s="2"/>
      <x:c r="M17" s="2"/>
    </x:row>
    <x:row r="18" ht="48" customHeight="1">
      <x:c r="A18" s="13" t="str">
        <x:v>Vision</x:v>
      </x:c>
      <x:c r="B18" s="13" t="str">
        <x:v>USB camera and rigid mount</x:v>
      </x:c>
      <x:c r="C18" s="13" t="str">
        <x:v>Use existing computer first; confirm camera and computer connections.</x:v>
      </x:c>
      <x:c r="D18" s="13" t="str">
        <x:v>First vision experiment</x:v>
      </x:c>
      <x:c r="E18" s="13" t="str">
        <x:v>Check existing camera; mount can be printed</x:v>
      </x:c>
      <x:c r="F18" s="2" t="str"/>
      <x:c r="G18" s="18" t="str">
        <x:v>https://support.logi.com/hc/en-001/articles/360023303514-C920s-HD-Pro-Webcam-Technical-Specifications</x:v>
      </x:c>
      <x:c r="H18" s="2" t="str">
        <x:v>P12</x:v>
      </x:c>
      <x:c r="I18" s="2"/>
      <x:c r="J18" s="2"/>
      <x:c r="K18" s="2"/>
      <x:c r="L18" s="2"/>
      <x:c r="M18" s="2"/>
    </x:row>
    <x:row r="19" ht="48" customHeight="1">
      <x:c r="A19" s="13" t="str">
        <x:v>Vision</x:v>
      </x:c>
      <x:c r="B19" s="13" t="str">
        <x:v>IMU / distance module / switches</x:v>
      </x:c>
      <x:c r="C19" s="13" t="str">
        <x:v>Selected B1 kit supplies initial IMU and distance sensing. S4 lever switches are optional; discrete sensor S1–S3 alternatives are not additional purchases.</x:v>
      </x:c>
      <x:c r="D19" s="13" t="str">
        <x:v>When required by experiment</x:v>
      </x:c>
      <x:c r="E19" s="13" t="str">
        <x:v>Inventory first; no blanket sensor kit</x:v>
      </x:c>
      <x:c r="F19" s="2" t="str"/>
      <x:c r="G19" s="18" t="str">
        <x:v>https://www.adafruit.com/product/4754</x:v>
      </x:c>
      <x:c r="H19" s="2" t="str">
        <x:v>P13</x:v>
      </x:c>
      <x:c r="I19" s="2"/>
      <x:c r="J19" s="2"/>
      <x:c r="K19" s="2"/>
      <x:c r="L19" s="2"/>
      <x:c r="M19" s="2"/>
    </x:row>
    <x:row r="20" ht="48" customHeight="1">
      <x:c r="A20" s="13" t="str">
        <x:v>Diagnostics</x:v>
      </x:c>
      <x:c r="B20" s="13" t="str">
        <x:v>USB serial adapter</x:v>
      </x:c>
      <x:c r="C20" s="13" t="str">
        <x:v>Compatible target logic voltage; only when existing board connection is insufficient.</x:v>
      </x:c>
      <x:c r="D20" s="13" t="str">
        <x:v>As needed</x:v>
      </x:c>
      <x:c r="E20" s="13" t="str">
        <x:v>Not all boards need one</x:v>
      </x:c>
      <x:c r="F20" s="2" t="str"/>
      <x:c r="G20" s="18" t="str">
        <x:v>https://www.adafruit.com/product/5335</x:v>
      </x:c>
      <x:c r="H20" s="2" t="str">
        <x:v>P14</x:v>
      </x:c>
      <x:c r="I20" s="2"/>
      <x:c r="J20" s="2"/>
      <x:c r="K20" s="2"/>
      <x:c r="L20" s="2"/>
      <x:c r="M20" s="2"/>
    </x:row>
    <x:row r="21" ht="48" customHeight="1">
      <x:c r="A21" s="13" t="str">
        <x:v>Diagnostics</x:v>
      </x:c>
      <x:c r="B21" s="13" t="str">
        <x:v>Logic analyzer / oscilloscope</x:v>
      </x:c>
      <x:c r="C21" s="13" t="str">
        <x:v>Choose based on an unresolved signal or supply measurement need.</x:v>
      </x:c>
      <x:c r="D21" s="13" t="str">
        <x:v>After diagnosis identifies need</x:v>
      </x:c>
      <x:c r="E21" s="13" t="str">
        <x:v>Borrow initially if practical</x:v>
      </x:c>
      <x:c r="F21" s="2" t="str"/>
      <x:c r="G21" s="18" t="str">
        <x:v>https://www.dreamsourcelab.com/shop/logic-analyzer/dslogic-u3pro16/</x:v>
      </x:c>
      <x:c r="H21" s="2" t="str">
        <x:v>P15</x:v>
      </x:c>
      <x:c r="I21" s="2"/>
      <x:c r="J21" s="2"/>
      <x:c r="K21" s="2"/>
      <x:c r="L21" s="2"/>
      <x:c r="M21" s="2"/>
    </x:row>
    <x:row r="22" ht="48" customHeight="1">
      <x:c r="A22" s="13" t="str">
        <x:v>Motion alternatives</x:v>
      </x:c>
      <x:c r="B22" s="13" t="str">
        <x:v>DC-gearmotor pair / stepper system</x:v>
      </x:c>
      <x:c r="C22" s="13" t="str">
        <x:v>Buy only for a relevant wheeled or positioning project.</x:v>
      </x:c>
      <x:c r="D22" s="13" t="str">
        <x:v>Optional project</x:v>
      </x:c>
      <x:c r="E22" s="13" t="str">
        <x:v>Not required to begin a walking robot</x:v>
      </x:c>
      <x:c r="F22" s="2" t="str"/>
      <x:c r="G22" s="18" t="str">
        <x:v>https://www.pololu.com/product/5108</x:v>
      </x:c>
      <x:c r="H22" s="2" t="str">
        <x:v>P16</x:v>
      </x:c>
      <x:c r="I22" s="2"/>
      <x:c r="J22" s="2"/>
      <x:c r="K22" s="2"/>
      <x:c r="L22" s="2"/>
      <x:c r="M22" s="2"/>
    </x:row>
    <x:row r="23" ht="48" customHeight="1">
      <x:c r="A23" s="13" t="str">
        <x:v>Mobile robot</x:v>
      </x:c>
      <x:c r="B23" s="13" t="str">
        <x:v>Battery, charger and regulation</x:v>
      </x:c>
      <x:c r="C23" s="13" t="str">
        <x:v>Select chemistry, voltage, peak current, connectors and charging/storage together.</x:v>
      </x:c>
      <x:c r="D23" s="13" t="str">
        <x:v>After tethered prototype</x:v>
      </x:c>
      <x:c r="E23" s="13" t="str">
        <x:v>Separate project budget</x:v>
      </x:c>
      <x:c r="F23" s="2" t="str"/>
      <x:c r="G23" s="18" t="str">
        <x:v>https://www2.skyrc.com/b6acneo/</x:v>
      </x:c>
      <x:c r="H23" s="2" t="str">
        <x:v>P17</x:v>
      </x:c>
      <x:c r="I23" s="2"/>
      <x:c r="J23" s="2"/>
      <x:c r="K23" s="2"/>
      <x:c r="L23" s="2"/>
      <x:c r="M23" s="2"/>
    </x:row>
    <x:row r="24" ht="48" customHeight="1">
      <x:c r="A24" s="13" t="str">
        <x:v>Onboard vision</x:v>
      </x:c>
      <x:c r="B24" s="13" t="str">
        <x:v>Computer, camera, cooling and regulator</x:v>
      </x:c>
      <x:c r="C24" s="13" t="str">
        <x:v>Profile vision workload on existing computer before selection.</x:v>
      </x:c>
      <x:c r="D24" s="13" t="str">
        <x:v>After repeatable perception</x:v>
      </x:c>
      <x:c r="E24" s="13" t="str">
        <x:v>Separate project budget</x:v>
      </x:c>
      <x:c r="F24" s="2" t="str"/>
      <x:c r="G24" s="18" t="str">
        <x:v>https://www.raspberrypi.com/products/raspberry-pi-5/</x:v>
      </x:c>
      <x:c r="H24" s="2" t="str">
        <x:v>P18</x:v>
      </x:c>
      <x:c r="I24" s="2"/>
      <x:c r="J24" s="2"/>
      <x:c r="K24" s="2"/>
      <x:c r="L24" s="2"/>
      <x:c r="M24" s="2"/>
    </x:row>
    <x:row r="25" ht="48" customHeight="1">
      <x:c r="A25" s="13" t="str">
        <x:v>Jumping</x:v>
      </x:c>
      <x:c r="B25" s="13" t="str">
        <x:v>Actuator, mechanism and contained test rig</x:v>
      </x:c>
      <x:c r="C25" s="13" t="str">
        <x:v>Define jump/load target and structural/impact requirements first.</x:v>
      </x:c>
      <x:c r="D25" s="13" t="str">
        <x:v>Separate project</x:v>
      </x:c>
      <x:c r="E25" s="13" t="str">
        <x:v>Not assumed to reuse first walker actuators</x:v>
      </x:c>
      <x:c r="F25" s="2" t="str"/>
      <x:c r="G25" s="18" t="str">
        <x:v>https://emanual.robotis.com/docs/en/dxl/x/xl330-m288/</x:v>
      </x:c>
      <x:c r="H25" s="2" t="str">
        <x:v>P19</x:v>
      </x:c>
      <x:c r="I25" s="2"/>
      <x:c r="J25" s="2"/>
      <x:c r="K25" s="2"/>
      <x:c r="L25" s="2"/>
      <x:c r="M25" s="2"/>
    </x:row>
    <x:row r="26" ht="48" customHeight="1">
      <x:c r="A26" s="13" t="str">
        <x:v>Drone</x:v>
      </x:c>
      <x:c r="B26" s="13" t="str">
        <x:v>Compatible flight platform and control link</x:v>
      </x:c>
      <x:c r="C26" s="13" t="str">
        <x:v>Frame/stack/motor fasteners, propulsion, controller, receiver/transmitter and configuration tools.</x:v>
      </x:c>
      <x:c r="D26" s="13" t="str">
        <x:v>Drone project</x:v>
      </x:c>
      <x:c r="E26" s="13" t="str">
        <x:v>Separate project budget</x:v>
      </x:c>
      <x:c r="F26" s="2" t="str"/>
      <x:c r="G26" s="18" t="str">
        <x:v>https://radiomasterrc.com/products/pocket-radio-controller-m2</x:v>
      </x:c>
      <x:c r="H26" s="2" t="str">
        <x:v>P20</x:v>
      </x:c>
      <x:c r="I26" s="2"/>
      <x:c r="J26" s="2"/>
      <x:c r="K26" s="2"/>
      <x:c r="L26" s="2"/>
      <x:c r="M26" s="2"/>
    </x:row>
    <x:row r="27" ht="48" customHeight="1">
      <x:c r="A27" s="13" t="str">
        <x:v>Drone</x:v>
      </x:c>
      <x:c r="B27" s="13" t="str">
        <x:v>Protected power and battery station</x:v>
      </x:c>
      <x:c r="C27" s="13" t="str">
        <x:v>Matched first-power lead, battery/charger, charging arrangement and propellers-off bring-up.</x:v>
      </x:c>
      <x:c r="D27" s="13" t="str">
        <x:v>Before drone power-up</x:v>
      </x:c>
      <x:c r="E27" s="13" t="str">
        <x:v>Separate project budget</x:v>
      </x:c>
      <x:c r="F27" s="2" t="str"/>
      <x:c r="G27" s="18" t="str">
        <x:v>https://betafpv.com/products/hexacharger-1s-charger</x:v>
      </x:c>
      <x:c r="H27" s="2" t="str">
        <x:v>P21</x:v>
      </x:c>
      <x:c r="I27" s="2"/>
      <x:c r="J27" s="2"/>
      <x:c r="K27" s="2"/>
      <x:c r="L27" s="2"/>
      <x:c r="M27" s="2"/>
    </x:row>
    <x:row r="28" ht="48" customHeight="1">
      <x:c r="A28" s="13" t="str">
        <x:v>Drone</x:v>
      </x:c>
      <x:c r="B28" s="13" t="str">
        <x:v>Field kit</x:v>
      </x:c>
      <x:c r="C28" s="13" t="str">
        <x:v>Appropriate test location, portable tools, spares, transport and logs.</x:v>
      </x:c>
      <x:c r="D28" s="13" t="str">
        <x:v>Before flight tests</x:v>
      </x:c>
      <x:c r="E28" s="13" t="str">
        <x:v>Separate project budget</x:v>
      </x:c>
      <x:c r="F28" s="2" t="str"/>
      <x:c r="G28" s="18" t="str">
        <x:v>https://betafpv.com/collections/parts-spares</x:v>
      </x:c>
      <x:c r="H28" s="2" t="str">
        <x:v>P22</x:v>
      </x:c>
      <x:c r="I28" s="2"/>
      <x:c r="J28" s="2"/>
      <x:c r="K28" s="2"/>
      <x:c r="L28" s="2"/>
      <x:c r="M28" s="2"/>
    </x:row>
    <x:row r="29">
      <x:c r="A29" s="2"/>
      <x:c r="B29" s="2"/>
      <x:c r="C29" s="2"/>
      <x:c r="D29" s="2"/>
      <x:c r="E29" s="2"/>
      <x:c r="F29" s="2"/>
      <x:c r="G29" s="2"/>
      <x:c r="H29" s="2"/>
      <x:c r="I29" s="2"/>
      <x:c r="J29" s="2"/>
      <x:c r="K29" s="2"/>
      <x:c r="L29" s="2"/>
      <x:c r="M29" s="2"/>
    </x:row>
    <x:row r="30">
      <x:c r="A30" s="2"/>
      <x:c r="B30" s="2"/>
      <x:c r="C30" s="2"/>
      <x:c r="D30" s="2"/>
      <x:c r="E30" s="2"/>
      <x:c r="F30" s="2"/>
      <x:c r="G30" s="2"/>
      <x:c r="H30" s="2"/>
      <x:c r="I30" s="2"/>
      <x:c r="J30" s="2"/>
      <x:c r="K30" s="2"/>
      <x:c r="L30" s="2"/>
      <x:c r="M30" s="2"/>
    </x:row>
    <x:row r="31">
      <x:c r="A31" s="2"/>
      <x:c r="B31" s="2"/>
      <x:c r="C31" s="2"/>
      <x:c r="D31" s="2"/>
      <x:c r="E31" s="2"/>
      <x:c r="F31" s="2"/>
      <x:c r="G31" s="2"/>
      <x:c r="H31" s="2"/>
      <x:c r="I31" s="2"/>
      <x:c r="J31" s="2"/>
      <x:c r="K31" s="2"/>
      <x:c r="L31" s="2"/>
      <x:c r="M31" s="2"/>
    </x:row>
    <x:row r="32">
      <x:c r="A32" s="2"/>
      <x:c r="B32" s="2"/>
      <x:c r="C32" s="2"/>
      <x:c r="D32" s="2"/>
      <x:c r="E32" s="2"/>
      <x:c r="F32" s="2"/>
      <x:c r="G32" s="2"/>
      <x:c r="H32" s="2"/>
      <x:c r="I32" s="2"/>
      <x:c r="J32" s="2"/>
      <x:c r="K32" s="2"/>
      <x:c r="L32" s="2"/>
      <x:c r="M32" s="2"/>
    </x:row>
    <x:row r="33">
      <x:c r="A33" s="2"/>
      <x:c r="B33" s="2"/>
      <x:c r="C33" s="2"/>
      <x:c r="D33" s="2"/>
      <x:c r="E33" s="2"/>
      <x:c r="F33" s="2"/>
      <x:c r="G33" s="2"/>
      <x:c r="H33" s="2"/>
      <x:c r="I33" s="2"/>
      <x:c r="J33" s="2"/>
      <x:c r="K33" s="2"/>
      <x:c r="L33" s="2"/>
      <x:c r="M33" s="2"/>
    </x:row>
    <x:row r="34">
      <x:c r="A34" s="2"/>
      <x:c r="B34" s="2"/>
      <x:c r="C34" s="2"/>
      <x:c r="D34" s="2"/>
      <x:c r="E34" s="2"/>
      <x:c r="F34" s="2"/>
      <x:c r="G34" s="2"/>
      <x:c r="H34" s="2"/>
      <x:c r="I34" s="2"/>
      <x:c r="J34" s="2"/>
      <x:c r="K34" s="2"/>
      <x:c r="L34" s="2"/>
      <x:c r="M34" s="2"/>
    </x:row>
    <x:row r="35">
      <x:c r="A35" s="2"/>
      <x:c r="B35" s="2"/>
      <x:c r="C35" s="2"/>
      <x:c r="D35" s="2"/>
      <x:c r="E35" s="2"/>
      <x:c r="F35" s="2"/>
      <x:c r="G35" s="2"/>
      <x:c r="H35" s="2"/>
      <x:c r="I35" s="2"/>
      <x:c r="J35" s="2"/>
      <x:c r="K35" s="2"/>
      <x:c r="L35" s="2"/>
      <x:c r="M35" s="2"/>
    </x:row>
    <x:row r="36">
      <x:c r="A36" s="2"/>
      <x:c r="B36" s="2"/>
      <x:c r="C36" s="2"/>
      <x:c r="D36" s="2"/>
      <x:c r="E36" s="2"/>
      <x:c r="F36" s="2"/>
      <x:c r="G36" s="2"/>
      <x:c r="H36" s="2"/>
      <x:c r="I36" s="2"/>
      <x:c r="J36" s="2"/>
      <x:c r="K36" s="2"/>
      <x:c r="L36" s="2"/>
      <x:c r="M36" s="2"/>
    </x:row>
    <x:row r="37">
      <x:c r="A37" s="2"/>
      <x:c r="B37" s="2"/>
      <x:c r="C37" s="2"/>
      <x:c r="D37" s="2"/>
      <x:c r="E37" s="2"/>
      <x:c r="F37" s="2"/>
      <x:c r="G37" s="2"/>
      <x:c r="H37" s="2"/>
      <x:c r="I37" s="2"/>
      <x:c r="J37" s="2"/>
      <x:c r="K37" s="2"/>
      <x:c r="L37" s="2"/>
      <x:c r="M37" s="2"/>
    </x:row>
    <x:row r="38">
      <x:c r="A38" s="2"/>
      <x:c r="B38" s="2"/>
      <x:c r="C38" s="2"/>
      <x:c r="D38" s="2"/>
      <x:c r="E38" s="2"/>
      <x:c r="F38" s="2"/>
      <x:c r="G38" s="2"/>
      <x:c r="H38" s="2"/>
      <x:c r="I38" s="2"/>
      <x:c r="J38" s="2"/>
      <x:c r="K38" s="2"/>
      <x:c r="L38" s="2"/>
      <x:c r="M38" s="2"/>
    </x:row>
    <x:row r="39">
      <x:c r="A39" s="2"/>
      <x:c r="B39" s="2"/>
      <x:c r="C39" s="2"/>
      <x:c r="D39" s="2"/>
      <x:c r="E39" s="2"/>
      <x:c r="F39" s="2"/>
      <x:c r="G39" s="2"/>
      <x:c r="H39" s="2"/>
      <x:c r="I39" s="2"/>
      <x:c r="J39" s="2"/>
      <x:c r="K39" s="2"/>
      <x:c r="L39" s="2"/>
      <x:c r="M39" s="2"/>
    </x:row>
    <x:row r="40">
      <x:c r="A40" s="2"/>
      <x:c r="B40" s="2"/>
      <x:c r="C40" s="2"/>
      <x:c r="D40" s="2"/>
      <x:c r="E40" s="2"/>
      <x:c r="F40" s="2"/>
      <x:c r="G40" s="2"/>
      <x:c r="H40" s="2"/>
      <x:c r="I40" s="2"/>
      <x:c r="J40" s="2"/>
      <x:c r="K40" s="2"/>
      <x:c r="L40" s="2"/>
      <x:c r="M40" s="2"/>
    </x:row>
    <x:row r="41">
      <x:c r="A41" s="2"/>
      <x:c r="B41" s="2"/>
      <x:c r="C41" s="2"/>
      <x:c r="D41" s="2"/>
      <x:c r="E41" s="2"/>
      <x:c r="F41" s="2"/>
      <x:c r="G41" s="2"/>
      <x:c r="H41" s="2"/>
      <x:c r="I41" s="2"/>
      <x:c r="J41" s="2"/>
      <x:c r="K41" s="2"/>
      <x:c r="L41" s="2"/>
      <x:c r="M41" s="2"/>
    </x:row>
    <x:row r="42">
      <x:c r="A42" s="2"/>
      <x:c r="B42" s="2"/>
      <x:c r="C42" s="2"/>
      <x:c r="D42" s="2"/>
      <x:c r="E42" s="2"/>
      <x:c r="F42" s="2"/>
      <x:c r="G42" s="2"/>
      <x:c r="H42" s="2"/>
      <x:c r="I42" s="2"/>
      <x:c r="J42" s="2"/>
      <x:c r="K42" s="2"/>
      <x:c r="L42" s="2"/>
      <x:c r="M42" s="2"/>
    </x:row>
    <x:row r="43">
      <x:c r="A43" s="2"/>
      <x:c r="B43" s="2"/>
      <x:c r="C43" s="2"/>
      <x:c r="D43" s="2"/>
      <x:c r="E43" s="2"/>
      <x:c r="F43" s="2"/>
      <x:c r="G43" s="2"/>
      <x:c r="H43" s="2"/>
      <x:c r="I43" s="2"/>
      <x:c r="J43" s="2"/>
      <x:c r="K43" s="2"/>
      <x:c r="L43" s="2"/>
      <x:c r="M43" s="2"/>
    </x:row>
    <x:row r="44">
      <x:c r="A44" s="2"/>
      <x:c r="B44" s="2"/>
      <x:c r="C44" s="2"/>
      <x:c r="D44" s="2"/>
      <x:c r="E44" s="2"/>
      <x:c r="F44" s="2"/>
      <x:c r="G44" s="2"/>
      <x:c r="H44" s="2"/>
      <x:c r="I44" s="2"/>
      <x:c r="J44" s="2"/>
      <x:c r="K44" s="2"/>
      <x:c r="L44" s="2"/>
      <x:c r="M44" s="2"/>
    </x:row>
    <x:row r="45">
      <x:c r="A45" s="2"/>
      <x:c r="B45" s="2"/>
      <x:c r="C45" s="2"/>
      <x:c r="D45" s="2"/>
      <x:c r="E45" s="2"/>
      <x:c r="F45" s="2"/>
      <x:c r="G45" s="2"/>
      <x:c r="H45" s="2"/>
      <x:c r="I45" s="2"/>
      <x:c r="J45" s="2"/>
      <x:c r="K45" s="2"/>
      <x:c r="L45" s="2"/>
      <x:c r="M45" s="2"/>
    </x:row>
    <x:row r="46">
      <x:c r="A46" s="2"/>
      <x:c r="B46" s="2"/>
      <x:c r="C46" s="2"/>
      <x:c r="D46" s="2"/>
      <x:c r="E46" s="2"/>
      <x:c r="F46" s="2"/>
      <x:c r="G46" s="2"/>
      <x:c r="H46" s="2"/>
      <x:c r="I46" s="2"/>
      <x:c r="J46" s="2"/>
      <x:c r="K46" s="2"/>
      <x:c r="L46" s="2"/>
      <x:c r="M46" s="2"/>
    </x:row>
    <x:row r="47">
      <x:c r="A47" s="2"/>
      <x:c r="B47" s="2"/>
      <x:c r="C47" s="2"/>
      <x:c r="D47" s="2"/>
      <x:c r="E47" s="2"/>
      <x:c r="F47" s="2"/>
      <x:c r="G47" s="2"/>
      <x:c r="H47" s="2"/>
      <x:c r="I47" s="2"/>
      <x:c r="J47" s="2"/>
      <x:c r="K47" s="2"/>
      <x:c r="L47" s="2"/>
      <x:c r="M47" s="2"/>
    </x:row>
    <x:row r="48">
      <x:c r="A48" s="2"/>
      <x:c r="B48" s="2"/>
      <x:c r="C48" s="2"/>
      <x:c r="D48" s="2"/>
      <x:c r="E48" s="2"/>
      <x:c r="F48" s="2"/>
      <x:c r="G48" s="2"/>
      <x:c r="H48" s="2"/>
      <x:c r="I48" s="2"/>
      <x:c r="J48" s="2"/>
      <x:c r="K48" s="2"/>
      <x:c r="L48" s="2"/>
      <x:c r="M48" s="2"/>
    </x:row>
    <x:row r="49">
      <x:c r="A49" s="2"/>
      <x:c r="B49" s="2"/>
      <x:c r="C49" s="2"/>
      <x:c r="D49" s="2"/>
      <x:c r="E49" s="2"/>
      <x:c r="F49" s="2"/>
      <x:c r="G49" s="2"/>
      <x:c r="H49" s="2"/>
      <x:c r="I49" s="2"/>
      <x:c r="J49" s="2"/>
      <x:c r="K49" s="2"/>
      <x:c r="L49" s="2"/>
      <x:c r="M49" s="2"/>
    </x:row>
    <x:row r="50">
      <x:c r="A50" s="2"/>
      <x:c r="B50" s="2"/>
      <x:c r="C50" s="2"/>
      <x:c r="D50" s="2"/>
      <x:c r="E50" s="2"/>
      <x:c r="F50" s="2"/>
      <x:c r="G50" s="2"/>
      <x:c r="H50" s="2"/>
      <x:c r="I50" s="2"/>
      <x:c r="J50" s="2"/>
      <x:c r="K50" s="2"/>
      <x:c r="L50" s="2"/>
      <x:c r="M50" s="2"/>
    </x:row>
    <x:row r="51">
      <x:c r="A51" s="2"/>
      <x:c r="B51" s="2"/>
      <x:c r="C51" s="2"/>
      <x:c r="D51" s="2"/>
      <x:c r="E51" s="2"/>
      <x:c r="F51" s="2"/>
      <x:c r="G51" s="2"/>
      <x:c r="H51" s="2"/>
      <x:c r="I51" s="2"/>
      <x:c r="J51" s="2"/>
      <x:c r="K51" s="2"/>
      <x:c r="L51" s="2"/>
      <x:c r="M51" s="2"/>
    </x:row>
    <x:row r="52">
      <x:c r="A52" s="2"/>
      <x:c r="B52" s="2"/>
      <x:c r="C52" s="2"/>
      <x:c r="D52" s="2"/>
      <x:c r="E52" s="2"/>
      <x:c r="F52" s="2"/>
      <x:c r="G52" s="2"/>
      <x:c r="H52" s="2"/>
      <x:c r="I52" s="2"/>
      <x:c r="J52" s="2"/>
      <x:c r="K52" s="2"/>
      <x:c r="L52" s="2"/>
      <x:c r="M52" s="2"/>
    </x:row>
    <x:row r="53">
      <x:c r="A53" s="2"/>
      <x:c r="B53" s="2"/>
      <x:c r="C53" s="2"/>
      <x:c r="D53" s="2"/>
      <x:c r="E53" s="2"/>
      <x:c r="F53" s="2"/>
      <x:c r="G53" s="2"/>
      <x:c r="H53" s="2"/>
      <x:c r="I53" s="2"/>
      <x:c r="J53" s="2"/>
      <x:c r="K53" s="2"/>
      <x:c r="L53" s="2"/>
      <x:c r="M53" s="2"/>
    </x:row>
    <x:row r="54">
      <x:c r="A54" s="2"/>
      <x:c r="B54" s="2"/>
      <x:c r="C54" s="2"/>
      <x:c r="D54" s="2"/>
      <x:c r="E54" s="2"/>
      <x:c r="F54" s="2"/>
      <x:c r="G54" s="2"/>
      <x:c r="H54" s="2"/>
      <x:c r="I54" s="2"/>
      <x:c r="J54" s="2"/>
      <x:c r="K54" s="2"/>
      <x:c r="L54" s="2"/>
      <x:c r="M54" s="2"/>
    </x:row>
    <x:row r="55">
      <x:c r="A55" s="2"/>
      <x:c r="B55" s="2"/>
      <x:c r="C55" s="2"/>
      <x:c r="D55" s="2"/>
      <x:c r="E55" s="2"/>
      <x:c r="F55" s="2"/>
      <x:c r="G55" s="2"/>
      <x:c r="H55" s="2"/>
      <x:c r="I55" s="2"/>
      <x:c r="J55" s="2"/>
      <x:c r="K55" s="2"/>
      <x:c r="L55" s="2"/>
      <x:c r="M55" s="2"/>
    </x:row>
    <x:row r="56">
      <x:c r="A56" s="2"/>
      <x:c r="B56" s="2"/>
      <x:c r="C56" s="2"/>
      <x:c r="D56" s="2"/>
      <x:c r="E56" s="2"/>
      <x:c r="F56" s="2"/>
      <x:c r="G56" s="2"/>
      <x:c r="H56" s="2"/>
      <x:c r="I56" s="2"/>
      <x:c r="J56" s="2"/>
      <x:c r="K56" s="2"/>
      <x:c r="L56" s="2"/>
      <x:c r="M56" s="2"/>
    </x:row>
    <x:row r="57">
      <x:c r="A57" s="2"/>
      <x:c r="B57" s="2"/>
      <x:c r="C57" s="2"/>
      <x:c r="D57" s="2"/>
      <x:c r="E57" s="2"/>
      <x:c r="F57" s="2"/>
      <x:c r="G57" s="2"/>
      <x:c r="H57" s="2"/>
      <x:c r="I57" s="2"/>
      <x:c r="J57" s="2"/>
      <x:c r="K57" s="2"/>
      <x:c r="L57" s="2"/>
      <x:c r="M57" s="2"/>
    </x:row>
    <x:row r="58">
      <x:c r="A58" s="2"/>
      <x:c r="B58" s="2"/>
      <x:c r="C58" s="2"/>
      <x:c r="D58" s="2"/>
      <x:c r="E58" s="2"/>
      <x:c r="F58" s="2"/>
      <x:c r="G58" s="2"/>
      <x:c r="H58" s="2"/>
      <x:c r="I58" s="2"/>
      <x:c r="J58" s="2"/>
      <x:c r="K58" s="2"/>
      <x:c r="L58" s="2"/>
      <x:c r="M58" s="2"/>
    </x:row>
    <x:row r="59">
      <x:c r="A59" s="2"/>
      <x:c r="B59" s="2"/>
      <x:c r="C59" s="2"/>
      <x:c r="D59" s="2"/>
      <x:c r="E59" s="2"/>
      <x:c r="F59" s="2"/>
      <x:c r="G59" s="2"/>
      <x:c r="H59" s="2"/>
      <x:c r="I59" s="2"/>
      <x:c r="J59" s="2"/>
      <x:c r="K59" s="2"/>
      <x:c r="L59" s="2"/>
      <x:c r="M59" s="2"/>
    </x:row>
    <x:row r="60">
      <x:c r="A60" s="2"/>
      <x:c r="B60" s="2"/>
      <x:c r="C60" s="2"/>
      <x:c r="D60" s="2"/>
      <x:c r="E60" s="2"/>
      <x:c r="F60" s="2"/>
      <x:c r="G60" s="2"/>
      <x:c r="H60" s="2"/>
      <x:c r="I60" s="2"/>
      <x:c r="J60" s="2"/>
      <x:c r="K60" s="2"/>
      <x:c r="L60" s="2"/>
      <x:c r="M60" s="2"/>
    </x:row>
    <x:row r="61">
      <x:c r="A61" s="2"/>
      <x:c r="B61" s="2"/>
      <x:c r="C61" s="2"/>
      <x:c r="D61" s="2"/>
      <x:c r="E61" s="2"/>
      <x:c r="F61" s="2"/>
      <x:c r="G61" s="2"/>
      <x:c r="H61" s="2"/>
      <x:c r="I61" s="2"/>
      <x:c r="J61" s="2"/>
      <x:c r="K61" s="2"/>
      <x:c r="L61" s="2"/>
      <x:c r="M61" s="2"/>
    </x:row>
    <x:row r="62">
      <x:c r="A62" s="2"/>
      <x:c r="B62" s="2"/>
      <x:c r="C62" s="2"/>
      <x:c r="D62" s="2"/>
      <x:c r="E62" s="2"/>
      <x:c r="F62" s="2"/>
      <x:c r="G62" s="2"/>
      <x:c r="H62" s="2"/>
      <x:c r="I62" s="2"/>
      <x:c r="J62" s="2"/>
      <x:c r="K62" s="2"/>
      <x:c r="L62" s="2"/>
      <x:c r="M62" s="2"/>
    </x:row>
    <x:row r="63">
      <x:c r="A63" s="2"/>
      <x:c r="B63" s="2"/>
      <x:c r="C63" s="2"/>
      <x:c r="D63" s="2"/>
      <x:c r="E63" s="2"/>
      <x:c r="F63" s="2"/>
      <x:c r="G63" s="2"/>
      <x:c r="H63" s="2"/>
      <x:c r="I63" s="2"/>
      <x:c r="J63" s="2"/>
      <x:c r="K63" s="2"/>
      <x:c r="L63" s="2"/>
      <x:c r="M63" s="2"/>
    </x:row>
    <x:row r="64">
      <x:c r="A64" s="2"/>
      <x:c r="B64" s="2"/>
      <x:c r="C64" s="2"/>
      <x:c r="D64" s="2"/>
      <x:c r="E64" s="2"/>
      <x:c r="F64" s="2"/>
      <x:c r="G64" s="2"/>
      <x:c r="H64" s="2"/>
      <x:c r="I64" s="2"/>
      <x:c r="J64" s="2"/>
      <x:c r="K64" s="2"/>
      <x:c r="L64" s="2"/>
      <x:c r="M64" s="2"/>
    </x:row>
    <x:row r="65">
      <x:c r="A65" s="2"/>
      <x:c r="B65" s="2"/>
      <x:c r="C65" s="2"/>
      <x:c r="D65" s="2"/>
      <x:c r="E65" s="2"/>
      <x:c r="F65" s="2"/>
      <x:c r="G65" s="2"/>
      <x:c r="H65" s="2"/>
      <x:c r="I65" s="2"/>
      <x:c r="J65" s="2"/>
      <x:c r="K65" s="2"/>
      <x:c r="L65" s="2"/>
      <x:c r="M65" s="2"/>
    </x:row>
    <x:row r="66">
      <x:c r="A66" s="2"/>
      <x:c r="B66" s="2"/>
      <x:c r="C66" s="2"/>
      <x:c r="D66" s="2"/>
      <x:c r="E66" s="2"/>
      <x:c r="F66" s="2"/>
      <x:c r="G66" s="2"/>
      <x:c r="H66" s="2"/>
      <x:c r="I66" s="2"/>
      <x:c r="J66" s="2"/>
      <x:c r="K66" s="2"/>
      <x:c r="L66" s="2"/>
      <x:c r="M66" s="2"/>
    </x:row>
    <x:row r="67">
      <x:c r="A67" s="2"/>
      <x:c r="B67" s="2"/>
      <x:c r="C67" s="2"/>
      <x:c r="D67" s="2"/>
      <x:c r="E67" s="2"/>
      <x:c r="F67" s="2"/>
      <x:c r="G67" s="2"/>
      <x:c r="H67" s="2"/>
      <x:c r="I67" s="2"/>
      <x:c r="J67" s="2"/>
      <x:c r="K67" s="2"/>
      <x:c r="L67" s="2"/>
      <x:c r="M67" s="2"/>
    </x:row>
    <x:row r="68">
      <x:c r="A68" s="2"/>
      <x:c r="B68" s="2"/>
      <x:c r="C68" s="2"/>
      <x:c r="D68" s="2"/>
      <x:c r="E68" s="2"/>
      <x:c r="F68" s="2"/>
      <x:c r="G68" s="2"/>
      <x:c r="H68" s="2"/>
      <x:c r="I68" s="2"/>
      <x:c r="J68" s="2"/>
      <x:c r="K68" s="2"/>
      <x:c r="L68" s="2"/>
      <x:c r="M68" s="2"/>
    </x:row>
    <x:row r="69">
      <x:c r="A69" s="2"/>
      <x:c r="B69" s="2"/>
      <x:c r="C69" s="2"/>
      <x:c r="D69" s="2"/>
      <x:c r="E69" s="2"/>
      <x:c r="F69" s="2"/>
      <x:c r="G69" s="2"/>
      <x:c r="H69" s="2"/>
      <x:c r="I69" s="2"/>
      <x:c r="J69" s="2"/>
      <x:c r="K69" s="2"/>
      <x:c r="L69" s="2"/>
      <x:c r="M69" s="2"/>
    </x:row>
    <x:row r="70">
      <x:c r="A70" s="2"/>
      <x:c r="B70" s="2"/>
      <x:c r="C70" s="2"/>
      <x:c r="D70" s="2"/>
      <x:c r="E70" s="2"/>
      <x:c r="F70" s="2"/>
      <x:c r="G70" s="2"/>
      <x:c r="H70" s="2"/>
      <x:c r="I70" s="2"/>
      <x:c r="J70" s="2"/>
      <x:c r="K70" s="2"/>
      <x:c r="L70" s="2"/>
      <x:c r="M70" s="2"/>
    </x:row>
    <x:row r="71">
      <x:c r="A71" s="2"/>
      <x:c r="B71" s="2"/>
      <x:c r="C71" s="2"/>
      <x:c r="D71" s="2"/>
      <x:c r="E71" s="2"/>
      <x:c r="F71" s="2"/>
      <x:c r="G71" s="2"/>
      <x:c r="H71" s="2"/>
      <x:c r="I71" s="2"/>
      <x:c r="J71" s="2"/>
      <x:c r="K71" s="2"/>
      <x:c r="L71" s="2"/>
      <x:c r="M71" s="2"/>
    </x:row>
    <x:row r="72">
      <x:c r="A72" s="2"/>
      <x:c r="B72" s="2"/>
      <x:c r="C72" s="2"/>
      <x:c r="D72" s="2"/>
      <x:c r="E72" s="2"/>
      <x:c r="F72" s="2"/>
      <x:c r="G72" s="2"/>
      <x:c r="H72" s="2"/>
      <x:c r="I72" s="2"/>
      <x:c r="J72" s="2"/>
      <x:c r="K72" s="2"/>
      <x:c r="L72" s="2"/>
      <x:c r="M72" s="2"/>
    </x:row>
    <x:row r="73">
      <x:c r="A73" s="2"/>
      <x:c r="B73" s="2"/>
      <x:c r="C73" s="2"/>
      <x:c r="D73" s="2"/>
      <x:c r="E73" s="2"/>
      <x:c r="F73" s="2"/>
      <x:c r="G73" s="2"/>
      <x:c r="H73" s="2"/>
      <x:c r="I73" s="2"/>
      <x:c r="J73" s="2"/>
      <x:c r="K73" s="2"/>
      <x:c r="L73" s="2"/>
      <x:c r="M73" s="2"/>
    </x:row>
    <x:row r="74">
      <x:c r="A74" s="2"/>
      <x:c r="B74" s="2"/>
      <x:c r="C74" s="2"/>
      <x:c r="D74" s="2"/>
      <x:c r="E74" s="2"/>
      <x:c r="F74" s="2"/>
      <x:c r="G74" s="2"/>
      <x:c r="H74" s="2"/>
      <x:c r="I74" s="2"/>
      <x:c r="J74" s="2"/>
      <x:c r="K74" s="2"/>
      <x:c r="L74" s="2"/>
      <x:c r="M74" s="2"/>
    </x:row>
    <x:row r="75">
      <x:c r="A75" s="2"/>
      <x:c r="B75" s="2"/>
      <x:c r="C75" s="2"/>
      <x:c r="D75" s="2"/>
      <x:c r="E75" s="2"/>
      <x:c r="F75" s="2"/>
      <x:c r="G75" s="2"/>
      <x:c r="H75" s="2"/>
      <x:c r="I75" s="2"/>
      <x:c r="J75" s="2"/>
      <x:c r="K75" s="2"/>
      <x:c r="L75" s="2"/>
      <x:c r="M75" s="2"/>
    </x:row>
    <x:row r="76">
      <x:c r="A76" s="2"/>
      <x:c r="B76" s="2"/>
      <x:c r="C76" s="2"/>
      <x:c r="D76" s="2"/>
      <x:c r="E76" s="2"/>
      <x:c r="F76" s="2"/>
      <x:c r="G76" s="2"/>
      <x:c r="H76" s="2"/>
      <x:c r="I76" s="2"/>
      <x:c r="J76" s="2"/>
      <x:c r="K76" s="2"/>
      <x:c r="L76" s="2"/>
      <x:c r="M76" s="2"/>
    </x:row>
    <x:row r="77">
      <x:c r="A77" s="2"/>
      <x:c r="B77" s="2"/>
      <x:c r="C77" s="2"/>
      <x:c r="D77" s="2"/>
      <x:c r="E77" s="2"/>
      <x:c r="F77" s="2"/>
      <x:c r="G77" s="2"/>
      <x:c r="H77" s="2"/>
      <x:c r="I77" s="2"/>
      <x:c r="J77" s="2"/>
      <x:c r="K77" s="2"/>
      <x:c r="L77" s="2"/>
      <x:c r="M77" s="2"/>
    </x:row>
    <x:row r="78">
      <x:c r="A78" s="2"/>
      <x:c r="B78" s="2"/>
      <x:c r="C78" s="2"/>
      <x:c r="D78" s="2"/>
      <x:c r="E78" s="2"/>
      <x:c r="F78" s="2"/>
      <x:c r="G78" s="2"/>
      <x:c r="H78" s="2"/>
      <x:c r="I78" s="2"/>
      <x:c r="J78" s="2"/>
      <x:c r="K78" s="2"/>
      <x:c r="L78" s="2"/>
      <x:c r="M78" s="2"/>
    </x:row>
    <x:row r="79">
      <x:c r="A79" s="2"/>
      <x:c r="B79" s="2"/>
      <x:c r="C79" s="2"/>
      <x:c r="D79" s="2"/>
      <x:c r="E79" s="2"/>
      <x:c r="F79" s="2"/>
      <x:c r="G79" s="2"/>
      <x:c r="H79" s="2"/>
      <x:c r="I79" s="2"/>
      <x:c r="J79" s="2"/>
      <x:c r="K79" s="2"/>
      <x:c r="L79" s="2"/>
      <x:c r="M79" s="2"/>
    </x:row>
    <x:row r="80">
      <x:c r="A80" s="2"/>
      <x:c r="B80" s="2"/>
      <x:c r="C80" s="2"/>
      <x:c r="D80" s="2"/>
      <x:c r="E80" s="2"/>
      <x:c r="F80" s="2"/>
      <x:c r="G80" s="2"/>
      <x:c r="H80" s="2"/>
      <x:c r="I80" s="2"/>
      <x:c r="J80" s="2"/>
      <x:c r="K80" s="2"/>
      <x:c r="L80" s="2"/>
      <x:c r="M80" s="2"/>
    </x:row>
    <x:row r="81">
      <x:c r="A81" s="2"/>
      <x:c r="B81" s="2"/>
      <x:c r="C81" s="2"/>
      <x:c r="D81" s="2"/>
      <x:c r="E81" s="2"/>
      <x:c r="F81" s="2"/>
      <x:c r="G81" s="2"/>
      <x:c r="H81" s="2"/>
      <x:c r="I81" s="2"/>
      <x:c r="J81" s="2"/>
      <x:c r="K81" s="2"/>
      <x:c r="L81" s="2"/>
      <x:c r="M81" s="2"/>
    </x:row>
    <x:row r="82">
      <x:c r="A82" s="2"/>
      <x:c r="B82" s="2"/>
      <x:c r="C82" s="2"/>
      <x:c r="D82" s="2"/>
      <x:c r="E82" s="2"/>
      <x:c r="F82" s="2"/>
      <x:c r="G82" s="2"/>
      <x:c r="H82" s="2"/>
      <x:c r="I82" s="2"/>
      <x:c r="J82" s="2"/>
      <x:c r="K82" s="2"/>
      <x:c r="L82" s="2"/>
      <x:c r="M82" s="2"/>
    </x:row>
    <x:row r="83">
      <x:c r="A83" s="2"/>
      <x:c r="B83" s="2"/>
      <x:c r="C83" s="2"/>
      <x:c r="D83" s="2"/>
      <x:c r="E83" s="2"/>
      <x:c r="F83" s="2"/>
      <x:c r="G83" s="2"/>
      <x:c r="H83" s="2"/>
      <x:c r="I83" s="2"/>
      <x:c r="J83" s="2"/>
      <x:c r="K83" s="2"/>
      <x:c r="L83" s="2"/>
      <x:c r="M83" s="2"/>
    </x:row>
    <x:row r="84">
      <x:c r="A84" s="2"/>
      <x:c r="B84" s="2"/>
      <x:c r="C84" s="2"/>
      <x:c r="D84" s="2"/>
      <x:c r="E84" s="2"/>
      <x:c r="F84" s="2"/>
      <x:c r="G84" s="2"/>
      <x:c r="H84" s="2"/>
      <x:c r="I84" s="2"/>
      <x:c r="J84" s="2"/>
      <x:c r="K84" s="2"/>
      <x:c r="L84" s="2"/>
      <x:c r="M84" s="2"/>
    </x:row>
    <x:row r="85">
      <x:c r="A85" s="2"/>
      <x:c r="B85" s="2"/>
      <x:c r="C85" s="2"/>
      <x:c r="D85" s="2"/>
      <x:c r="E85" s="2"/>
      <x:c r="F85" s="2"/>
      <x:c r="G85" s="2"/>
      <x:c r="H85" s="2"/>
      <x:c r="I85" s="2"/>
      <x:c r="J85" s="2"/>
      <x:c r="K85" s="2"/>
      <x:c r="L85" s="2"/>
      <x:c r="M85" s="2"/>
    </x:row>
    <x:row r="86">
      <x:c r="A86" s="2"/>
      <x:c r="B86" s="2"/>
      <x:c r="C86" s="2"/>
      <x:c r="D86" s="2"/>
      <x:c r="E86" s="2"/>
      <x:c r="F86" s="2"/>
      <x:c r="G86" s="2"/>
      <x:c r="H86" s="2"/>
      <x:c r="I86" s="2"/>
      <x:c r="J86" s="2"/>
      <x:c r="K86" s="2"/>
      <x:c r="L86" s="2"/>
      <x:c r="M86" s="2"/>
    </x:row>
    <x:row r="87">
      <x:c r="A87" s="2"/>
      <x:c r="B87" s="2"/>
      <x:c r="C87" s="2"/>
      <x:c r="D87" s="2"/>
      <x:c r="E87" s="2"/>
      <x:c r="F87" s="2"/>
      <x:c r="G87" s="2"/>
      <x:c r="H87" s="2"/>
      <x:c r="I87" s="2"/>
      <x:c r="J87" s="2"/>
      <x:c r="K87" s="2"/>
      <x:c r="L87" s="2"/>
      <x:c r="M87" s="2"/>
    </x:row>
    <x:row r="88">
      <x:c r="A88" s="2"/>
      <x:c r="B88" s="2"/>
      <x:c r="C88" s="2"/>
      <x:c r="D88" s="2"/>
      <x:c r="E88" s="2"/>
      <x:c r="F88" s="2"/>
      <x:c r="G88" s="2"/>
      <x:c r="H88" s="2"/>
      <x:c r="I88" s="2"/>
      <x:c r="J88" s="2"/>
      <x:c r="K88" s="2"/>
      <x:c r="L88" s="2"/>
      <x:c r="M88" s="2"/>
    </x:row>
    <x:row r="89">
      <x:c r="A89" s="2"/>
      <x:c r="B89" s="2"/>
      <x:c r="C89" s="2"/>
      <x:c r="D89" s="2"/>
      <x:c r="E89" s="2"/>
      <x:c r="F89" s="2"/>
      <x:c r="G89" s="2"/>
      <x:c r="H89" s="2"/>
      <x:c r="I89" s="2"/>
      <x:c r="J89" s="2"/>
      <x:c r="K89" s="2"/>
      <x:c r="L89" s="2"/>
      <x:c r="M89" s="2"/>
    </x:row>
    <x:row r="90">
      <x:c r="A90" s="2"/>
      <x:c r="B90" s="2"/>
      <x:c r="C90" s="2"/>
      <x:c r="D90" s="2"/>
      <x:c r="E90" s="2"/>
      <x:c r="F90" s="2"/>
      <x:c r="G90" s="2"/>
      <x:c r="H90" s="2"/>
      <x:c r="I90" s="2"/>
      <x:c r="J90" s="2"/>
      <x:c r="K90" s="2"/>
      <x:c r="L90" s="2"/>
      <x:c r="M90" s="2"/>
    </x:row>
    <x:row r="91">
      <x:c r="A91" s="2"/>
      <x:c r="B91" s="2"/>
      <x:c r="C91" s="2"/>
      <x:c r="D91" s="2"/>
      <x:c r="E91" s="2"/>
      <x:c r="F91" s="2"/>
      <x:c r="G91" s="2"/>
      <x:c r="H91" s="2"/>
      <x:c r="I91" s="2"/>
      <x:c r="J91" s="2"/>
      <x:c r="K91" s="2"/>
      <x:c r="L91" s="2"/>
      <x:c r="M91" s="2"/>
    </x:row>
    <x:row r="92">
      <x:c r="A92" s="2"/>
      <x:c r="B92" s="2"/>
      <x:c r="C92" s="2"/>
      <x:c r="D92" s="2"/>
      <x:c r="E92" s="2"/>
      <x:c r="F92" s="2"/>
      <x:c r="G92" s="2"/>
      <x:c r="H92" s="2"/>
      <x:c r="I92" s="2"/>
      <x:c r="J92" s="2"/>
      <x:c r="K92" s="2"/>
      <x:c r="L92" s="2"/>
      <x:c r="M92" s="2"/>
    </x:row>
    <x:row r="93">
      <x:c r="A93" s="2"/>
      <x:c r="B93" s="2"/>
      <x:c r="C93" s="2"/>
      <x:c r="D93" s="2"/>
      <x:c r="E93" s="2"/>
      <x:c r="F93" s="2"/>
      <x:c r="G93" s="2"/>
      <x:c r="H93" s="2"/>
      <x:c r="I93" s="2"/>
      <x:c r="J93" s="2"/>
      <x:c r="K93" s="2"/>
      <x:c r="L93" s="2"/>
      <x:c r="M93" s="2"/>
    </x:row>
    <x:row r="94">
      <x:c r="A94" s="2"/>
      <x:c r="B94" s="2"/>
      <x:c r="C94" s="2"/>
      <x:c r="D94" s="2"/>
      <x:c r="E94" s="2"/>
      <x:c r="F94" s="2"/>
      <x:c r="G94" s="2"/>
      <x:c r="H94" s="2"/>
      <x:c r="I94" s="2"/>
      <x:c r="J94" s="2"/>
      <x:c r="K94" s="2"/>
      <x:c r="L94" s="2"/>
      <x:c r="M94" s="2"/>
    </x:row>
    <x:row r="95">
      <x:c r="A95" s="2"/>
      <x:c r="B95" s="2"/>
      <x:c r="C95" s="2"/>
      <x:c r="D95" s="2"/>
      <x:c r="E95" s="2"/>
      <x:c r="F95" s="2"/>
      <x:c r="G95" s="2"/>
      <x:c r="H95" s="2"/>
      <x:c r="I95" s="2"/>
      <x:c r="J95" s="2"/>
      <x:c r="K95" s="2"/>
      <x:c r="L95" s="2"/>
      <x:c r="M95" s="2"/>
    </x:row>
    <x:row r="96">
      <x:c r="A96" s="2"/>
      <x:c r="B96" s="2"/>
      <x:c r="C96" s="2"/>
      <x:c r="D96" s="2"/>
      <x:c r="E96" s="2"/>
      <x:c r="F96" s="2"/>
      <x:c r="G96" s="2"/>
      <x:c r="H96" s="2"/>
      <x:c r="I96" s="2"/>
      <x:c r="J96" s="2"/>
      <x:c r="K96" s="2"/>
      <x:c r="L96" s="2"/>
      <x:c r="M96" s="2"/>
    </x:row>
    <x:row r="97">
      <x:c r="A97" s="2"/>
      <x:c r="B97" s="2"/>
      <x:c r="C97" s="2"/>
      <x:c r="D97" s="2"/>
      <x:c r="E97" s="2"/>
      <x:c r="F97" s="2"/>
      <x:c r="G97" s="2"/>
      <x:c r="H97" s="2"/>
      <x:c r="I97" s="2"/>
      <x:c r="J97" s="2"/>
      <x:c r="K97" s="2"/>
      <x:c r="L97" s="2"/>
      <x:c r="M97" s="2"/>
    </x:row>
    <x:row r="98">
      <x:c r="A98" s="2"/>
      <x:c r="B98" s="2"/>
      <x:c r="C98" s="2"/>
      <x:c r="D98" s="2"/>
      <x:c r="E98" s="2"/>
      <x:c r="F98" s="2"/>
      <x:c r="G98" s="2"/>
      <x:c r="H98" s="2"/>
      <x:c r="I98" s="2"/>
      <x:c r="J98" s="2"/>
      <x:c r="K98" s="2"/>
      <x:c r="L98" s="2"/>
      <x:c r="M98" s="2"/>
    </x:row>
    <x:row r="99">
      <x:c r="A99" s="2"/>
      <x:c r="B99" s="2"/>
      <x:c r="C99" s="2"/>
      <x:c r="D99" s="2"/>
      <x:c r="E99" s="2"/>
      <x:c r="F99" s="2"/>
      <x:c r="G99" s="2"/>
      <x:c r="H99" s="2"/>
      <x:c r="I99" s="2"/>
      <x:c r="J99" s="2"/>
      <x:c r="K99" s="2"/>
      <x:c r="L99" s="2"/>
      <x:c r="M99" s="2"/>
    </x:row>
    <x:row r="100">
      <x:c r="A100" s="2"/>
      <x:c r="B100" s="2"/>
      <x:c r="C100" s="2"/>
      <x:c r="D100" s="2"/>
      <x:c r="E100" s="2"/>
      <x:c r="F100" s="2"/>
      <x:c r="G100" s="2"/>
      <x:c r="H100" s="2"/>
      <x:c r="I100" s="2"/>
      <x:c r="J100" s="2"/>
      <x:c r="K100" s="2"/>
      <x:c r="L100" s="2"/>
      <x:c r="M100" s="2"/>
    </x:row>
    <x:row r="101">
      <x:c r="A101" s="2"/>
      <x:c r="B101" s="2"/>
      <x:c r="C101" s="2"/>
      <x:c r="D101" s="2"/>
      <x:c r="E101" s="2"/>
      <x:c r="F101" s="2"/>
      <x:c r="G101" s="2"/>
      <x:c r="H101" s="2"/>
      <x:c r="I101" s="2"/>
      <x:c r="J101" s="2"/>
      <x:c r="K101" s="2"/>
      <x:c r="L101" s="2"/>
      <x:c r="M101" s="2"/>
    </x:row>
    <x:row r="102">
      <x:c r="A102" s="2"/>
      <x:c r="B102" s="2"/>
      <x:c r="C102" s="2"/>
      <x:c r="D102" s="2"/>
      <x:c r="E102" s="2"/>
      <x:c r="F102" s="2"/>
      <x:c r="G102" s="2"/>
      <x:c r="H102" s="2"/>
      <x:c r="I102" s="2"/>
      <x:c r="J102" s="2"/>
      <x:c r="K102" s="2"/>
      <x:c r="L102" s="2"/>
      <x:c r="M102" s="2"/>
    </x:row>
    <x:row r="103">
      <x:c r="A103" s="2"/>
      <x:c r="B103" s="2"/>
      <x:c r="C103" s="2"/>
      <x:c r="D103" s="2"/>
      <x:c r="E103" s="2"/>
      <x:c r="F103" s="2"/>
      <x:c r="G103" s="2"/>
      <x:c r="H103" s="2"/>
      <x:c r="I103" s="2"/>
      <x:c r="J103" s="2"/>
      <x:c r="K103" s="2"/>
      <x:c r="L103" s="2"/>
      <x:c r="M103" s="2"/>
    </x:row>
    <x:row r="104">
      <x:c r="A104" s="2"/>
      <x:c r="B104" s="2"/>
      <x:c r="C104" s="2"/>
      <x:c r="D104" s="2"/>
      <x:c r="E104" s="2"/>
      <x:c r="F104" s="2"/>
      <x:c r="G104" s="2"/>
      <x:c r="H104" s="2"/>
      <x:c r="I104" s="2"/>
      <x:c r="J104" s="2"/>
      <x:c r="K104" s="2"/>
      <x:c r="L104" s="2"/>
      <x:c r="M104" s="2"/>
    </x:row>
    <x:row r="105">
      <x:c r="A105" s="2"/>
      <x:c r="B105" s="2"/>
      <x:c r="C105" s="2"/>
      <x:c r="D105" s="2"/>
      <x:c r="E105" s="2"/>
      <x:c r="F105" s="2"/>
      <x:c r="G105" s="2"/>
      <x:c r="H105" s="2"/>
      <x:c r="I105" s="2"/>
      <x:c r="J105" s="2"/>
      <x:c r="K105" s="2"/>
      <x:c r="L105" s="2"/>
      <x:c r="M105" s="2"/>
    </x:row>
    <x:row r="106">
      <x:c r="A106" s="2"/>
      <x:c r="B106" s="2"/>
      <x:c r="C106" s="2"/>
      <x:c r="D106" s="2"/>
      <x:c r="E106" s="2"/>
      <x:c r="F106" s="2"/>
      <x:c r="G106" s="2"/>
      <x:c r="H106" s="2"/>
      <x:c r="I106" s="2"/>
      <x:c r="J106" s="2"/>
      <x:c r="K106" s="2"/>
      <x:c r="L106" s="2"/>
      <x:c r="M106" s="2"/>
    </x:row>
    <x:row r="107">
      <x:c r="A107" s="2"/>
      <x:c r="B107" s="2"/>
      <x:c r="C107" s="2"/>
      <x:c r="D107" s="2"/>
      <x:c r="E107" s="2"/>
      <x:c r="F107" s="2"/>
      <x:c r="G107" s="2"/>
      <x:c r="H107" s="2"/>
      <x:c r="I107" s="2"/>
      <x:c r="J107" s="2"/>
      <x:c r="K107" s="2"/>
      <x:c r="L107" s="2"/>
      <x:c r="M107" s="2"/>
    </x:row>
    <x:row r="108">
      <x:c r="A108" s="2"/>
      <x:c r="B108" s="2"/>
      <x:c r="C108" s="2"/>
      <x:c r="D108" s="2"/>
      <x:c r="E108" s="2"/>
      <x:c r="F108" s="2"/>
      <x:c r="G108" s="2"/>
      <x:c r="H108" s="2"/>
      <x:c r="I108" s="2"/>
      <x:c r="J108" s="2"/>
      <x:c r="K108" s="2"/>
      <x:c r="L108" s="2"/>
      <x:c r="M108" s="2"/>
    </x:row>
    <x:row r="109">
      <x:c r="A109" s="2"/>
      <x:c r="B109" s="2"/>
      <x:c r="C109" s="2"/>
      <x:c r="D109" s="2"/>
      <x:c r="E109" s="2"/>
      <x:c r="F109" s="2"/>
      <x:c r="G109" s="2"/>
      <x:c r="H109" s="2"/>
      <x:c r="I109" s="2"/>
      <x:c r="J109" s="2"/>
      <x:c r="K109" s="2"/>
      <x:c r="L109" s="2"/>
      <x:c r="M109" s="2"/>
    </x:row>
    <x:row r="110">
      <x:c r="A110" s="2"/>
      <x:c r="B110" s="2"/>
      <x:c r="C110" s="2"/>
      <x:c r="D110" s="2"/>
      <x:c r="E110" s="2"/>
      <x:c r="F110" s="2"/>
      <x:c r="G110" s="2"/>
      <x:c r="H110" s="2"/>
      <x:c r="I110" s="2"/>
      <x:c r="J110" s="2"/>
      <x:c r="K110" s="2"/>
      <x:c r="L110" s="2"/>
      <x:c r="M110" s="2"/>
    </x:row>
    <x:row r="111">
      <x:c r="A111" s="2"/>
      <x:c r="B111" s="2"/>
      <x:c r="C111" s="2"/>
      <x:c r="D111" s="2"/>
      <x:c r="E111" s="2"/>
      <x:c r="F111" s="2"/>
      <x:c r="G111" s="2"/>
      <x:c r="H111" s="2"/>
      <x:c r="I111" s="2"/>
      <x:c r="J111" s="2"/>
      <x:c r="K111" s="2"/>
      <x:c r="L111" s="2"/>
      <x:c r="M111" s="2"/>
    </x:row>
    <x:row r="112">
      <x:c r="A112" s="2"/>
      <x:c r="B112" s="2"/>
      <x:c r="C112" s="2"/>
      <x:c r="D112" s="2"/>
      <x:c r="E112" s="2"/>
      <x:c r="F112" s="2"/>
      <x:c r="G112" s="2"/>
      <x:c r="H112" s="2"/>
      <x:c r="I112" s="2"/>
      <x:c r="J112" s="2"/>
      <x:c r="K112" s="2"/>
      <x:c r="L112" s="2"/>
      <x:c r="M112" s="2"/>
    </x:row>
    <x:row r="113">
      <x:c r="A113" s="2"/>
      <x:c r="B113" s="2"/>
      <x:c r="C113" s="2"/>
      <x:c r="D113" s="2"/>
      <x:c r="E113" s="2"/>
      <x:c r="F113" s="2"/>
      <x:c r="G113" s="2"/>
      <x:c r="H113" s="2"/>
      <x:c r="I113" s="2"/>
      <x:c r="J113" s="2"/>
      <x:c r="K113" s="2"/>
      <x:c r="L113" s="2"/>
      <x:c r="M113" s="2"/>
    </x:row>
    <x:row r="114">
      <x:c r="A114" s="2"/>
      <x:c r="B114" s="2"/>
      <x:c r="C114" s="2"/>
      <x:c r="D114" s="2"/>
      <x:c r="E114" s="2"/>
      <x:c r="F114" s="2"/>
      <x:c r="G114" s="2"/>
      <x:c r="H114" s="2"/>
      <x:c r="I114" s="2"/>
      <x:c r="J114" s="2"/>
      <x:c r="K114" s="2"/>
      <x:c r="L114" s="2"/>
      <x:c r="M114" s="2"/>
    </x:row>
    <x:row r="115">
      <x:c r="A115" s="2"/>
      <x:c r="B115" s="2"/>
      <x:c r="C115" s="2"/>
      <x:c r="D115" s="2"/>
      <x:c r="E115" s="2"/>
      <x:c r="F115" s="2"/>
      <x:c r="G115" s="2"/>
      <x:c r="H115" s="2"/>
      <x:c r="I115" s="2"/>
      <x:c r="J115" s="2"/>
      <x:c r="K115" s="2"/>
      <x:c r="L115" s="2"/>
      <x:c r="M115" s="2"/>
    </x:row>
    <x:row r="116">
      <x:c r="A116" s="2"/>
      <x:c r="B116" s="2"/>
      <x:c r="C116" s="2"/>
      <x:c r="D116" s="2"/>
      <x:c r="E116" s="2"/>
      <x:c r="F116" s="2"/>
      <x:c r="G116" s="2"/>
      <x:c r="H116" s="2"/>
      <x:c r="I116" s="2"/>
      <x:c r="J116" s="2"/>
      <x:c r="K116" s="2"/>
      <x:c r="L116" s="2"/>
      <x:c r="M116" s="2"/>
    </x:row>
    <x:row r="117">
      <x:c r="A117" s="2"/>
      <x:c r="B117" s="2"/>
      <x:c r="C117" s="2"/>
      <x:c r="D117" s="2"/>
      <x:c r="E117" s="2"/>
      <x:c r="F117" s="2"/>
      <x:c r="G117" s="2"/>
      <x:c r="H117" s="2"/>
      <x:c r="I117" s="2"/>
      <x:c r="J117" s="2"/>
      <x:c r="K117" s="2"/>
      <x:c r="L117" s="2"/>
      <x:c r="M117" s="2"/>
    </x:row>
    <x:row r="118">
      <x:c r="A118" s="2"/>
      <x:c r="B118" s="2"/>
      <x:c r="C118" s="2"/>
      <x:c r="D118" s="2"/>
      <x:c r="E118" s="2"/>
      <x:c r="F118" s="2"/>
      <x:c r="G118" s="2"/>
      <x:c r="H118" s="2"/>
      <x:c r="I118" s="2"/>
      <x:c r="J118" s="2"/>
      <x:c r="K118" s="2"/>
      <x:c r="L118" s="2"/>
      <x:c r="M118" s="2"/>
    </x:row>
    <x:row r="119">
      <x:c r="A119" s="2"/>
      <x:c r="B119" s="2"/>
      <x:c r="C119" s="2"/>
      <x:c r="D119" s="2"/>
      <x:c r="E119" s="2"/>
      <x:c r="F119" s="2"/>
      <x:c r="G119" s="2"/>
      <x:c r="H119" s="2"/>
      <x:c r="I119" s="2"/>
      <x:c r="J119" s="2"/>
      <x:c r="K119" s="2"/>
      <x:c r="L119" s="2"/>
      <x:c r="M119" s="2"/>
    </x:row>
    <x:row r="120">
      <x:c r="A120" s="2"/>
      <x:c r="B120" s="2"/>
      <x:c r="C120" s="2"/>
      <x:c r="D120" s="2"/>
      <x:c r="E120" s="2"/>
      <x:c r="F120" s="2"/>
      <x:c r="G120" s="2"/>
      <x:c r="H120" s="2"/>
      <x:c r="I120" s="2"/>
      <x:c r="J120" s="2"/>
      <x:c r="K120" s="2"/>
      <x:c r="L120" s="2"/>
      <x:c r="M120" s="2"/>
    </x:row>
  </x:sheetData>
  <x:pageMargins left="0.7" right="0.7" top="0.75" bottom="0.75" header="0.3" footer="0.3"/>
  <x:tableParts count="1">
    <x:tablePart xmlns:r="http://schemas.openxmlformats.org/officeDocument/2006/relationships" r:id="Rac53de773a0c4af1"/>
  </x:tableParts>
</x:worksheet>
</file>

<file path=xl/worksheets/sheet3.xml><?xml version="1.0" encoding="utf-8"?>
<x:worksheet xmlns:x="http://schemas.openxmlformats.org/spreadsheetml/2006/main">
  <x:sheetPr>
    <x:tabColor rgb="FF168B84"/>
  </x:sheetPr>
  <x:sheetViews>
    <x:sheetView workbookViewId="0">
      <x:pane xSplit="3" ySplit="11" topLeftCell="D12" activePane="bottomRight" state="frozen"/>
    </x:sheetView>
  </x:sheetViews>
  <x:sheetFormatPr defaultRowHeight="15"/>
  <x:cols>
    <x:col min="1" max="1" width="7" hidden="0" customWidth="1"/>
    <x:col min="2" max="2" width="15" hidden="0" customWidth="1"/>
    <x:col min="3" max="3" width="29" hidden="0" customWidth="1"/>
    <x:col min="4" max="4" width="52" hidden="0" customWidth="1"/>
    <x:col min="5" max="5" width="19" hidden="0" customWidth="1"/>
    <x:col min="6" max="6" width="27" hidden="0" customWidth="1"/>
    <x:col min="7" max="7" width="54" hidden="0" customWidth="1"/>
    <x:col min="8" max="8" width="68" hidden="0" customWidth="1"/>
    <x:col min="9" max="9" width="47" hidden="0" customWidth="1"/>
    <x:col min="10" max="10" width="54" hidden="0" customWidth="1"/>
    <x:col min="11" max="11" width="45" hidden="0" customWidth="1"/>
    <x:col min="12" max="12" width="72" hidden="0" customWidth="1"/>
    <x:col min="13" max="13" width="72" hidden="0" customWidth="1"/>
    <x:col min="14" max="14" width="14" hidden="0" customWidth="1"/>
  </x:cols>
  <x:sheetData>
    <x:row r="2" ht="30" customHeight="1">
      <x:c r="A2" s="19" t="str">
        <x:v>Product choices • 29 September 2026</x:v>
      </x:c>
    </x:row>
    <x:row r="3">
      <x:c r="A3" s="20" t="str">
        <x:v>Earlier product research retained. P2S Combo is selected; Full comparison now has 115 entries including printer accessories.</x:v>
      </x:c>
    </x:row>
    <x:row r="4">
      <x:c r="A4" s="20" t="str">
        <x:v>Prices are observed listing prices in the stated currency, NOT landed-to-Israel quotations. Stock and checkout terms can change.</x:v>
      </x:c>
    </x:row>
    <x:row r="5">
      <x:c r="A5" s="20" t="str">
        <x:v>Observed prices and original rationale below describe the previous route. A different printer or kit can invalidate bundled accessories.</x:v>
      </x:c>
    </x:row>
    <x:row r="6">
      <x:c r="A6" s="20" t="str">
        <x:v>Order sequence: printing + hand tools → electronics bench → 1–2 robot joints → vision. Batteries, jumping and drones remain later.</x:v>
      </x:c>
    </x:row>
    <x:row r="7">
      <x:c r="A7" s="20" t="str">
        <x:v>Reuse owned tools and board accessories. Products bundled in another recommended kit should be bought only once.</x:v>
      </x:c>
    </x:row>
    <x:row r="8">
      <x:c r="A8" s="20" t="str">
        <x:v>URLs include manufacturer specifications and retailer offers. A product page does not establish Israel delivery eligibility.</x:v>
      </x:c>
    </x:row>
    <x:row r="11" ht="38" customHeight="1">
      <x:c r="A11" s="24" t="str">
        <x:v>ID</x:v>
      </x:c>
      <x:c r="B11" s="24" t="str">
        <x:v>Group</x:v>
      </x:c>
      <x:c r="C11" s="24" t="str">
        <x:v>Shopping item</x:v>
      </x:c>
      <x:c r="D11" s="24" t="str">
        <x:v>Recommended choice</x:v>
      </x:c>
      <x:c r="E11" s="24" t="str">
        <x:v>Timing</x:v>
      </x:c>
      <x:c r="F11" s="24" t="str">
        <x:v>Quantity / coverage</x:v>
      </x:c>
      <x:c r="G11" s="24" t="str">
        <x:v>Why this choice</x:v>
      </x:c>
      <x:c r="H11" s="24" t="str">
        <x:v>Compatibility / decision before ordering</x:v>
      </x:c>
      <x:c r="I11" s="24" t="str">
        <x:v>Alternative</x:v>
      </x:c>
      <x:c r="J11" s="24" t="str">
        <x:v>Observed price / exclusions</x:v>
      </x:c>
      <x:c r="K11" s="24" t="str">
        <x:v>Seller / availability</x:v>
      </x:c>
      <x:c r="L11" s="24" t="str">
        <x:v>Product / source URL</x:v>
      </x:c>
      <x:c r="M11" s="24" t="str">
        <x:v>Alternative / supporting URL</x:v>
      </x:c>
      <x:c r="N11" s="24" t="str">
        <x:v>Checked</x:v>
      </x:c>
    </x:row>
    <x:row r="12" ht="132" customHeight="1">
      <x:c r="A12" s="27" t="str">
        <x:v>1</x:v>
      </x:c>
      <x:c r="B12" s="27" t="str">
        <x:v>printing</x:v>
      </x:c>
      <x:c r="C12" s="27" t="str">
        <x:v>3D printer with filament management</x:v>
      </x:c>
      <x:c r="D12" s="27" t="str">
        <x:v>Bambu Lab P2S AMS 2 Pro Combo</x:v>
      </x:c>
      <x:c r="E12" s="28" t="str">
        <x:v>1 · Build basics</x:v>
      </x:c>
      <x:c r="F12" s="27" t="str">
        <x:v>1</x:v>
      </x:c>
      <x:c r="G12" s="27" t="str">
        <x:v>Convenient calibrated printing plus four-spool feeding and drying/storage. BUG Combo is only ILS 400 above the observed standalone product price, making the Combo worthwhile even without multicolor plans.</x:v>
      </x:c>
      <x:c r="H12" s="27" t="str">
        <x:v>PLA/PETG starter workflow; one AMS 2 Pro can use P2S power for drying per official Bambu store. Treat idle drying as the starting workflow; verify current firmware/adapter requirements before depending on simultaneous printing and drying.
Timing: Core—buy first</x:v>
      </x:c>
      <x:c r="I12" s="27" t="str">
        <x:v>Bambu Lab P2S standalone (3DbotX)</x:v>
      </x:c>
      <x:c r="J12" s="27" t="str">
        <x:v>BUG: ILS 3,890 standard consumer displayed price (Eilat price separately ILS 3,296.61), free shipping, promotion until 2026-10-01 or stock exhaustion; 1-year official importer warranty. Standalone 3DbotX: ILS 3,490 displayed; VAT treatment and delivery charges not explicitly established in extracted listing. Difference is product-price-only, not landed quote.</x:v>
      </x:c>
      <x:c r="K12" s="27" t="str">
        <x:v>BUG Israel (recommended); 3DbotX Israel (alternative)
Both show add-to-cart. BUG branch inventory unverified; 3DbotX delivery-time selection unresolved. Overseas official stores are region-specific; Israel delivery not verified.</x:v>
      </x:c>
      <x:c r="L12" s="32" t="str">
        <x:v>https://www.bug.co.il/brand/bambulab/p2s/ams2/pro/combo</x:v>
      </x:c>
      <x:c r="M12" s="32" t="str">
        <x:v>https://www.3dbotx.co.il/product-page/bambu-lab-p2s</x:v>
      </x:c>
      <x:c r="N12" s="27" t="str">
        <x:v>2026-09-29</x:v>
      </x:c>
    </x:row>
    <x:row r="13" ht="88" customHeight="1">
      <x:c r="A13" s="27" t="str">
        <x:v>2</x:v>
      </x:c>
      <x:c r="B13" s="27" t="str">
        <x:v>printing</x:v>
      </x:c>
      <x:c r="C13" s="27" t="str">
        <x:v>PLA filament, 2 kg</x:v>
      </x:c>
      <x:c r="D13" s="27" t="str">
        <x:v>Bambu PLA Basic 1.75 mm, two 1 kg spools (plain light/neutral colors; spool-included)</x:v>
      </x:c>
      <x:c r="E13" s="28" t="str">
        <x:v>1 · Build basics</x:v>
      </x:c>
      <x:c r="F13" s="27" t="str">
        <x:v>2 × 1 kg</x:v>
      </x:c>
      <x:c r="G13" s="27" t="str">
        <x:v>Simple baseline material and manufacturer profiles/RFID reduce setup variables during AI/CAD iteration.</x:v>
      </x:c>
      <x:c r="H13" s="27" t="str">
        <x:v>P2S standard 0.4 mm hardened hotend; purchase spool-included versions initially rather than assuming refills include a spool. Quoted Bambu page is Cocoa Brown; other colors may differ.
Timing: Core—buy first</x:v>
      </x:c>
      <x:c r="I13" s="27" t="str">
        <x:v>Creality Hyper PLA 1.75 mm 1 kg through BUG; inspect physical spool fit before AMS use</x:v>
      </x:c>
      <x:c r="J13" s="27" t="str">
        <x:v>Bambu PLA Basic observed ILS 109 per 1 kg, two units ILS 218; free pickup shown, delivery charges not verified; separate Eilat price shown. Creality Hyper PLA listing ILS 99 per 1 kg, delivery/VAT detail unverified.</x:v>
      </x:c>
      <x:c r="K13" s="27" t="str">
        <x:v>BUG Israel
Bambu page has add-to-cart and branch-stock check; selected-color stock not independently verified.</x:v>
      </x:c>
      <x:c r="L13" s="32" t="str">
        <x:v>https://www.bug.co.il/brand/bambulab/cocoabrown/pla/basic</x:v>
      </x:c>
      <x:c r="M13" s="32" t="str">
        <x:v>https://www.bug.co.il/3d-printers-filament</x:v>
      </x:c>
      <x:c r="N13" s="27" t="str">
        <x:v>2026-09-29</x:v>
      </x:c>
    </x:row>
    <x:row r="14" ht="88" customHeight="1">
      <x:c r="A14" s="27" t="str">
        <x:v>3</x:v>
      </x:c>
      <x:c r="B14" s="27" t="str">
        <x:v>printing</x:v>
      </x:c>
      <x:c r="C14" s="27" t="str">
        <x:v>PETG filament, 2 kg</x:v>
      </x:c>
      <x:c r="D14" s="27" t="str">
        <x:v>Bambu PETG HF 1.75 mm, two 1 kg spool-included rolls</x:v>
      </x:c>
      <x:c r="E14" s="28" t="str">
        <x:v>1 · Build basics</x:v>
      </x:c>
      <x:c r="F14" s="27" t="str">
        <x:v>2 × 1 kg</x:v>
      </x:c>
      <x:c r="G14" s="27" t="str">
        <x:v>Functional prototyping material with convenient Bambu profiles. Start with two colors rather than a large materials library.</x:v>
      </x:c>
      <x:c r="H14" s="27" t="str">
        <x:v>Official Bambu H2/P2S hotend table supports PETG HF with 0.4 mm hardened nozzle. Dry according to filament manufacturer instructions, then keep sealed. Quoted color is Cream.
Timing: Core—buy first</x:v>
      </x:c>
      <x:c r="I14" s="27" t="str">
        <x:v>Creality Hyper PETG 1.75 mm 1 kg through BUG; check spool fit and calibrate material profile</x:v>
      </x:c>
      <x:c r="J14" s="27" t="str">
        <x:v>Bambu PETG HF observed ILS 129 per 1 kg, two units ILS 258; free pickup shown, delivery charges unverified; separate Eilat price shown. Creality Hyper PETG category lists ILS 69/kg, stock and delivery not verified.</x:v>
      </x:c>
      <x:c r="K14" s="27" t="str">
        <x:v>BUG Israel
Add-to-cart shown; branch and chosen color inventory not independently verified.</x:v>
      </x:c>
      <x:c r="L14" s="32" t="str">
        <x:v>https://www.bug.co.il/brand/bambulab/petg/hf/cream</x:v>
      </x:c>
      <x:c r="M14" s="32" t="str">
        <x:v>https://www.bug.co.il/3d-printers-filament</x:v>
      </x:c>
      <x:c r="N14" s="27" t="str">
        <x:v>2026-09-29</x:v>
      </x:c>
    </x:row>
    <x:row r="15" ht="88" customHeight="1">
      <x:c r="A15" s="27" t="str">
        <x:v>4</x:v>
      </x:c>
      <x:c r="B15" s="27" t="str">
        <x:v>printing</x:v>
      </x:c>
      <x:c r="C15" s="27" t="str">
        <x:v>Sealed filament storage and desiccant for four rolls</x:v>
      </x:c>
      <x:c r="D15" s="27" t="str">
        <x:v>Use included AMS 2 Pro for four loaded rolls; sealed spool bags/boxes plus desiccant for any rolls removed from it</x:v>
      </x:c>
      <x:c r="E15" s="29" t="str">
        <x:v>Included / defer</x:v>
      </x:c>
      <x:c r="F15" s="27" t="str">
        <x:v>Capacity for 4 rolls; avoid buying a duplicate powered dryer solely for storage</x:v>
      </x:c>
      <x:c r="G15" s="27" t="str">
        <x:v>Maintains dried filament between sessions and provides storage when swapping materials. Sealed storage does not replace drying already-wet filament.</x:v>
      </x:c>
      <x:c r="H15" s="27" t="str">
        <x:v>Fit actual 1 kg spool diameter/width. AMS drying temperatures must suit every spool/material loaded. Official AMS product page confirms sealed storage and P2S drying-power compatibility.
Timing: Core capability—reuse included AMS; buy passive overflow storage as needed</x:v>
      </x:c>
      <x:c r="I15" s="27" t="str">
        <x:v>eSUN eVacuum Kit Pro (10 bags, 15 silica-gel packs, USB pump) as an identified local kit; current local listing is sold out</x:v>
      </x:c>
      <x:c r="J15" s="27" t="str">
        <x:v>AMS storage included with item 1. eSUN kit listing ILS 139 (sold out); VAT/delivery details not established. Generic sealed boxes/desiccant not yet quoted.</x:v>
      </x:c>
      <x:c r="K15" s="27" t="str">
        <x:v>Existing included Bambu AMS 2 Pro; 3DbotX local storage-kit alternative
AMS included in Combo; eSUN alternative explicitly sold out. Generic box stock not checked.</x:v>
      </x:c>
      <x:c r="L15" s="32" t="str">
        <x:v>https://bambu-lab-jp.myshopify.com/en/products/ams-2-pro</x:v>
      </x:c>
      <x:c r="M15" s="32" t="str">
        <x:v>https://www.3dbotx.co.il/product-page/evacuum-kit-pro-esun</x:v>
      </x:c>
      <x:c r="N15" s="27" t="str">
        <x:v>2026-09-29</x:v>
      </x:c>
    </x:row>
    <x:row r="16" ht="117" customHeight="1">
      <x:c r="A16" s="27" t="str">
        <x:v>5</x:v>
      </x:c>
      <x:c r="B16" s="27" t="str">
        <x:v>printing</x:v>
      </x:c>
      <x:c r="C16" s="27" t="str">
        <x:v>Spare standard 0.4 mm hotend</x:v>
      </x:c>
      <x:c r="D16" s="27" t="str">
        <x:v>Genuine Bambu Hotend H2/P2S, 0.4 mm Hardened Steel, FAH025</x:v>
      </x:c>
      <x:c r="E16" s="28" t="str">
        <x:v>Confirm fit / SKU</x:v>
      </x:c>
      <x:c r="F16" s="27" t="str">
        <x:v>1 spare</x:v>
      </x:c>
      <x:c r="G16" s="27" t="str">
        <x:v>A correct spare prevents a clog/damaged nozzle from stopping the whole lab; standard flow preserves the initial setup.</x:v>
      </x:c>
      <x:c r="H16" s="27" t="str">
        <x:v>Official Bambu Japan store explicitly lists H2D/H2S/H2C/P2S and 0.4 mm hardened steel. Do not order P1-series hotend. BUG high-flow page has contradictory copied P1/X1 prose despite its H2/P2 title and correct P2S compatibility table: verify part number physically before ordering.
Timing: Core spare—exact model confirmation required</x:v>
      </x:c>
      <x:c r="I16" s="27" t="str">
        <x:v>Bambu 0.4 mm High Flow H2/P2S hotend, FAH063—only if standard spare cannot be sourced; unnecessary performance upgrade initially</x:v>
      </x:c>
      <x:c r="J16" s="27" t="str">
        <x:v>Standard FAH025: local delivered quote unavailable. Official Japan listing JPY 3,180 tax included is a specification/reference price, not an Israel purchase quote. High-flow alternative BUG ILS 259 with free shipping; Spider3D ILS 395 (listing says in stock), shipping/VAT details not fully verified.</x:v>
      </x:c>
      <x:c r="K16" s="27" t="str">
        <x:v>Request FAH025 from local Bambu supplier; official manufacturer listing for specification
FAH025 local stock unverified; official Japan delivery to Israel unverified. High-flow Spider3D explicitly in stock; BUG branch inventory unverified.</x:v>
      </x:c>
      <x:c r="L16" s="32" t="str">
        <x:v>https://bambu-lab-jp.myshopify.com/en/products/bambu-hotend-h-series</x:v>
      </x:c>
      <x:c r="M16" s="32" t="str">
        <x:v>https://www.bug.co.il/brand/bambulab/h2/p2/series/hotend/hardenedsteel/highflow/04mm</x:v>
      </x:c>
      <x:c r="N16" s="27" t="str">
        <x:v>2026-09-29</x:v>
      </x:c>
    </x:row>
    <x:row r="17" ht="88" customHeight="1">
      <x:c r="A17" s="27" t="str">
        <x:v>6</x:v>
      </x:c>
      <x:c r="B17" s="27" t="str">
        <x:v>mechanical</x:v>
      </x:c>
      <x:c r="C17" s="27" t="str">
        <x:v>150 mm digital caliper</x:v>
      </x:c>
      <x:c r="D17" s="27" t="str">
        <x:v>iGaging OriginCal IP54 100-700-06, 0–150 mm</x:v>
      </x:c>
      <x:c r="E17" s="28" t="str">
        <x:v>1 · Build basics</x:v>
      </x:c>
      <x:c r="F17" s="27" t="str">
        <x:v>1</x:v>
      </x:c>
      <x:c r="G17" s="27" t="str">
        <x:v>Steel caliper with absolute encoder and 0.01 mm display resolution; useful for CAD and fit checks.</x:v>
      </x:c>
      <x:c r="H17" s="27" t="str">
        <x:v>0.01 mm resolution is not accuracy; manufacturer specifies ±0.02 mm. CR2032 battery. Select 150 mm variant.
Timing: Buy now</x:v>
      </x:c>
      <x:c r="I17" s="27" t="str">
        <x:v>Mitutoyo 500-171-30, local higher-cost alternative</x:v>
      </x:c>
      <x:c r="J17" s="27" t="str">
        <x:v>Quote needed</x:v>
      </x:c>
      <x:c r="K17" s="27" t="str">
        <x:v>iGaging authorized dealer; Z-Tools for alternative
Catalog verified; dealer page shows mixed variant stock states. Israel delivery and exact-variant price unconfirmed.</x:v>
      </x:c>
      <x:c r="L17" s="32" t="str">
        <x:v>https://igagingshop.com/products/ip54-origincal-absolute-digital-calipers-1</x:v>
      </x:c>
      <x:c r="M17" s="32" t="str">
        <x:v>https://www.z-tools.co.il/page_22428</x:v>
      </x:c>
      <x:c r="N17" s="27" t="str">
        <x:v>2026-09-29</x:v>
      </x:c>
    </x:row>
    <x:row r="18" ht="88" customHeight="1">
      <x:c r="A18" s="27" t="str">
        <x:v>7</x:v>
      </x:c>
      <x:c r="B18" s="27" t="str">
        <x:v>mechanical</x:v>
      </x:c>
      <x:c r="C18" s="27" t="str">
        <x:v>Ruler and small square</x:v>
      </x:c>
      <x:c r="D18" s="27" t="str">
        <x:v>Stanley 0-46-151 300 mm Combination Square</x:v>
      </x:c>
      <x:c r="E18" s="28" t="str">
        <x:v>1 · Build basics</x:v>
      </x:c>
      <x:c r="F18" s="27" t="str">
        <x:v>1</x:v>
      </x:c>
      <x:c r="G18" s="27" t="str">
        <x:v>Combines a removable metric steel rule, 90°/45° checking and depth measurement.</x:v>
      </x:c>
      <x:c r="H18" s="27" t="str">
        <x:v>300 mm blade; larger than a pocket square but avoids two purchases.
Timing: Buy now</x:v>
      </x:c>
      <x:c r="I18" s="27" t="str"/>
      <x:c r="J18" s="27" t="str">
        <x:v>Quote needed</x:v>
      </x:c>
      <x:c r="K18" s="27" t="str">
        <x:v>Stanley dealer
Manufacturer catalog verified; retailer stock and Israel delivery unconfirmed.</x:v>
      </x:c>
      <x:c r="L18" s="32" t="str">
        <x:v>https://www.stanleytools.co.uk/product/0-46-151/300mm-combination-square</x:v>
      </x:c>
      <x:c r="M18" s="32" t="str"/>
      <x:c r="N18" s="27" t="str">
        <x:v>2026-09-29</x:v>
      </x:c>
    </x:row>
    <x:row r="19" ht="88" customHeight="1">
      <x:c r="A19" s="27" t="str">
        <x:v>8</x:v>
      </x:c>
      <x:c r="B19" s="27" t="str">
        <x:v>mechanical</x:v>
      </x:c>
      <x:c r="C19" s="27" t="str">
        <x:v>Digital scale</x:v>
      </x:c>
      <x:c r="D19" s="27" t="str">
        <x:v>Beurer KS25 kitchen scale</x:v>
      </x:c>
      <x:c r="E19" s="30" t="str">
        <x:v>Check home first</x:v>
      </x:c>
      <x:c r="F19" s="27" t="str">
        <x:v>1</x:v>
      </x:c>
      <x:c r="G19" s="27" t="str">
        <x:v>Weighs printed parts and robot assemblies without paying for a laboratory balance.</x:v>
      </x:c>
      <x:c r="H19" s="27" t="str">
        <x:v>Confirm capacity in the selected listing; kitchen-scale resolution is adequate for robot mass budgets, not milligram chemistry.
Timing: Check home</x:v>
      </x:c>
      <x:c r="I19" s="27" t="str">
        <x:v>Reuse an existing kitchen scale with tare and 1 g increments</x:v>
      </x:c>
      <x:c r="J19" s="27" t="str">
        <x:v>Quote needed</x:v>
      </x:c>
      <x:c r="K19" s="27" t="str">
        <x:v>Beurer Israel
Israel product listing verified; price and stock not exposed in retrieved page.</x:v>
      </x:c>
      <x:c r="L19" s="32" t="str">
        <x:v>https://beurer.co.il/product/bwwks25/</x:v>
      </x:c>
      <x:c r="M19" s="32" t="str"/>
      <x:c r="N19" s="27" t="str">
        <x:v>2026-09-29</x:v>
      </x:c>
    </x:row>
    <x:row r="20" ht="88" customHeight="1">
      <x:c r="A20" s="27" t="str">
        <x:v>9</x:v>
      </x:c>
      <x:c r="B20" s="27" t="str">
        <x:v>mechanical</x:v>
      </x:c>
      <x:c r="C20" s="27" t="str">
        <x:v>Metric hex keys, including 1.5–4 mm</x:v>
      </x:c>
      <x:c r="D20" s="27" t="str">
        <x:v>Wera 950/9 Hex-Plus 6, metric BlackLaser 9-piece L-key set</x:v>
      </x:c>
      <x:c r="E20" s="28" t="str">
        <x:v>1 · Build basics</x:v>
      </x:c>
      <x:c r="F20" s="27" t="str">
        <x:v>1 set</x:v>
      </x:c>
      <x:c r="G20" s="27" t="str">
        <x:v>Reliable keys for repeated M3/M4 assembly; ordinary unsleeved set controls cost.</x:v>
      </x:c>
      <x:c r="H20" s="27" t="str">
        <x:v>Metric set, not imperial. Includes 1.5, 2, 2.5, 3 and 4 mm. Use straight end for final tightening; choose screw-head drive separately from thread diameter.
Timing: Buy now</x:v>
      </x:c>
      <x:c r="I20" s="27" t="str"/>
      <x:c r="J20" s="27" t="str">
        <x:v>Quote needed</x:v>
      </x:c>
      <x:c r="K20" s="27" t="str">
        <x:v>Wera dealer
Manufacturer catalog verified; local stock unconfirmed.</x:v>
      </x:c>
      <x:c r="L20" s="32" t="str">
        <x:v>https://www.wera-tools.co.uk/tools/950-9-hex-plus-6-l-key-set-metric-blacklaser</x:v>
      </x:c>
      <x:c r="M20" s="32" t="str"/>
      <x:c r="N20" s="27" t="str">
        <x:v>2026-09-29</x:v>
      </x:c>
    </x:row>
    <x:row r="21" ht="88" customHeight="1">
      <x:c r="A21" s="27" t="str">
        <x:v>10</x:v>
      </x:c>
      <x:c r="B21" s="27" t="str">
        <x:v>mechanical</x:v>
      </x:c>
      <x:c r="C21" s="27" t="str">
        <x:v>Nut drivers for M2.5/M3/M4 joints</x:v>
      </x:c>
      <x:c r="D21" s="27" t="str">
        <x:v>Reuse Mako 5.0/5.5 mm nut bits from item 11; add Wiha SoftFinish 01078, 7 mm x 65 mm</x:v>
      </x:c>
      <x:c r="E21" s="28" t="str">
        <x:v>1 · Build basics</x:v>
      </x:c>
      <x:c r="F21" s="27" t="str">
        <x:v>1 extra 7 mm driver</x:v>
      </x:c>
      <x:c r="G21" s="27" t="str">
        <x:v>Covers typical small hex nuts while avoiding a duplicate nut-driver kit.</x:v>
      </x:c>
      <x:c r="H21" s="27" t="str">
        <x:v>Typical across-flat sizes: M2.5=5 mm, M3=5.5 mm, M4=7 mm. Check actual nuts. Deep protruding bolts may need a deeper hollow driver; Mako bits are shallow.
Timing: Buy now</x:v>
      </x:c>
      <x:c r="I21" s="27" t="str">
        <x:v>Wiha Precision 5.0 and 5.5 mm nut drivers if dedicated handles become useful</x:v>
      </x:c>
      <x:c r="J21" s="27" t="str">
        <x:v>Quote needed</x:v>
      </x:c>
      <x:c r="K21" s="27" t="str">
        <x:v>Wiha dealer
Manufacturer products verified; stock/delivery unconfirmed.</x:v>
      </x:c>
      <x:c r="L21" s="32" t="str">
        <x:v>https://wiha.com/tools/screwdrivers/mechanic-s-screwdrivers/softfinish/hex/screwdriver-softfinish/01078</x:v>
      </x:c>
      <x:c r="M21" s="32" t="str">
        <x:v>https://www.wihatools.com/products/precision-nut-drivers</x:v>
      </x:c>
      <x:c r="N21" s="27" t="str">
        <x:v>2026-09-29</x:v>
      </x:c>
    </x:row>
    <x:row r="22" ht="88" customHeight="1">
      <x:c r="A22" s="27" t="str">
        <x:v>11</x:v>
      </x:c>
      <x:c r="B22" s="27" t="str">
        <x:v>mechanical</x:v>
      </x:c>
      <x:c r="C22" s="27" t="str">
        <x:v>Precision screwdriver/bit set</x:v>
      </x:c>
      <x:c r="D22" s="27" t="str">
        <x:v>iFixit Mako Driver Kit, 64 precision bits, IF145-299-4</x:v>
      </x:c>
      <x:c r="E22" s="30" t="str">
        <x:v>Check home first</x:v>
      </x:c>
      <x:c r="F22" s="27" t="str">
        <x:v>1</x:v>
      </x:c>
      <x:c r="G22" s="27" t="str">
        <x:v>Useful across Arduino cases, gadgets and repair; includes small Phillips, slotted, hex, Torx and nut bits.</x:v>
      </x:c>
      <x:c r="H22" s="27" t="str">
        <x:v>4 mm precision bits. Do not treat the kit as an impact-driver or high-torque drill bit set. Includes 5.0 and 5.5 mm nut bits, but no 7 mm nut bit.
Timing: Buy now</x:v>
      </x:c>
      <x:c r="I22" s="27" t="str"/>
      <x:c r="J22" s="27" t="str">
        <x:v>USD 39.95 displayed in manufacturer comparison; shipping and Israel taxes/import costs excluded or unconfirmed.</x:v>
      </x:c>
      <x:c r="K22" s="27" t="str">
        <x:v>iFixit
Product and displayed price verified; Israel delivery and checkout stock unconfirmed.</x:v>
      </x:c>
      <x:c r="L22" s="32" t="str">
        <x:v>https://www.ifixit.com/products/mako-driver-kit-64-precision-bits</x:v>
      </x:c>
      <x:c r="M22" s="32" t="str"/>
      <x:c r="N22" s="27" t="str">
        <x:v>2026-09-29</x:v>
      </x:c>
    </x:row>
    <x:row r="23" ht="88" customHeight="1">
      <x:c r="A23" s="27" t="str">
        <x:v>12</x:v>
      </x:c>
      <x:c r="B23" s="27" t="str">
        <x:v>mechanical</x:v>
      </x:c>
      <x:c r="C23" s="27" t="str">
        <x:v>Long-nose pliers</x:v>
      </x:c>
      <x:c r="D23" s="27" t="str">
        <x:v>Knipex 26 11 200, 200 mm long-nose side-cutting pliers</x:v>
      </x:c>
      <x:c r="E23" s="30" t="str">
        <x:v>Check home first</x:v>
      </x:c>
      <x:c r="F23" s="27" t="str">
        <x:v>1</x:v>
      </x:c>
      <x:c r="G23" s="27" t="str">
        <x:v>Durable general assembly pliers; one good pair rather than a large low-grade set.</x:v>
      </x:c>
      <x:c r="H23" s="27" t="str">
        <x:v>Plain plastic-coated version, not a mains-insulated tool. Longer than miniature electronics pliers; tweezers handle tiny components.
Timing: Buy now</x:v>
      </x:c>
      <x:c r="I23" s="27" t="str"/>
      <x:c r="J23" s="27" t="str">
        <x:v>Quote needed</x:v>
      </x:c>
      <x:c r="K23" s="27" t="str">
        <x:v>Knipex dealer
Manufacturer catalog verified; local stock unconfirmed.</x:v>
      </x:c>
      <x:c r="L23" s="32" t="str">
        <x:v>https://www.knipex-tools.com/products/long-nose-pliers/long-nose-pliers-with-cutting-edges/long-nose-pliers-cutter-and-awg-stripping-hole/2611200</x:v>
      </x:c>
      <x:c r="M23" s="32" t="str"/>
      <x:c r="N23" s="27" t="str">
        <x:v>2026-09-29</x:v>
      </x:c>
    </x:row>
    <x:row r="24" ht="88" customHeight="1">
      <x:c r="A24" s="27" t="str">
        <x:v>13</x:v>
      </x:c>
      <x:c r="B24" s="27" t="str">
        <x:v>mechanical</x:v>
      </x:c>
      <x:c r="C24" s="27" t="str">
        <x:v>Flush cutter</x:v>
      </x:c>
      <x:c r="D24" s="27" t="str">
        <x:v>Hakko CHP-170 micro cutter</x:v>
      </x:c>
      <x:c r="E24" s="28" t="str">
        <x:v>1 · Build basics</x:v>
      </x:c>
      <x:c r="F24" s="27" t="str">
        <x:v>1</x:v>
      </x:c>
      <x:c r="G24" s="27" t="str">
        <x:v>Affordable electronics cutter for leads and soft wire.</x:v>
      </x:c>
      <x:c r="H24" s="27" t="str">
        <x:v>Soft-wire cutter; not for screws, steel shafts or hardened wire. Use eye protection and retain offcuts.
Timing: Buy now</x:v>
      </x:c>
      <x:c r="I24" s="27" t="str">
        <x:v>Hakko CHP-170-A-D with safety clip</x:v>
      </x:c>
      <x:c r="J24" s="27" t="str">
        <x:v>Quote needed</x:v>
      </x:c>
      <x:c r="K24" s="27" t="str">
        <x:v>Hakko / DigiKey
Manufacturer and DigiKey listing verified; delivery/stock unconfirmed.</x:v>
      </x:c>
      <x:c r="L24" s="32" t="str">
        <x:v>https://hakkousa.com/chp-170</x:v>
      </x:c>
      <x:c r="M24" s="32" t="str">
        <x:v>https://hakkousa.com/chp-170-a-d-micro-cutter.html</x:v>
      </x:c>
      <x:c r="N24" s="27" t="str">
        <x:v>2026-09-29</x:v>
      </x:c>
    </x:row>
    <x:row r="25" ht="88" customHeight="1">
      <x:c r="A25" s="27" t="str">
        <x:v>14</x:v>
      </x:c>
      <x:c r="B25" s="27" t="str">
        <x:v>mechanical</x:v>
      </x:c>
      <x:c r="C25" s="27" t="str">
        <x:v>Tweezers</x:v>
      </x:c>
      <x:c r="D25" s="27" t="str">
        <x:v>iFixit Precision Tweezers Set, IF145-060-3</x:v>
      </x:c>
      <x:c r="E25" s="28" t="str">
        <x:v>1 · Build basics</x:v>
      </x:c>
      <x:c r="F25" s="27" t="str">
        <x:v>1 set</x:v>
      </x:c>
      <x:c r="G25" s="27" t="str">
        <x:v>Straight, angled and blunt tips for placing components and retrieving small hardware.</x:v>
      </x:c>
      <x:c r="H25" s="27" t="str">
        <x:v>Keep tips clean; use appropriate ESD working practices for exposed sensitive electronics.
Timing: Buy now</x:v>
      </x:c>
      <x:c r="I25" s="27" t="str"/>
      <x:c r="J25" s="27" t="str">
        <x:v>US$11.95 shown alongside Mako kit on iFixit; shipping/import taxes and Israel delivery unverified.</x:v>
      </x:c>
      <x:c r="K25" s="27" t="str">
        <x:v>iFixit
Manufacturer catalog verified; Israel delivery/stock unconfirmed.</x:v>
      </x:c>
      <x:c r="L25" s="32" t="str">
        <x:v>https://www.ifixit.com/products/precision-tweezers-set</x:v>
      </x:c>
      <x:c r="M25" s="32" t="str"/>
      <x:c r="N25" s="27" t="str">
        <x:v>2026-09-29</x:v>
      </x:c>
    </x:row>
    <x:row r="26" ht="88" customHeight="1">
      <x:c r="A26" s="27" t="str">
        <x:v>15</x:v>
      </x:c>
      <x:c r="B26" s="27" t="str">
        <x:v>mechanical</x:v>
      </x:c>
      <x:c r="C26" s="27" t="str">
        <x:v>Small bench vise with soft jaws</x:v>
      </x:c>
      <x:c r="D26" s="27" t="str">
        <x:v>Stanley 1-83-069 MAXSTEEL Multi-Angle Vice</x:v>
      </x:c>
      <x:c r="E26" s="28" t="str">
        <x:v>1 · Build basics</x:v>
      </x:c>
      <x:c r="F26" s="27" t="str">
        <x:v>1</x:v>
      </x:c>
      <x:c r="G26" s="27" t="str">
        <x:v>Removable clamp-on vise for printed parts and light bench work; suits a shared room.</x:v>
      </x:c>
      <x:c r="H26" s="27" t="str">
        <x:v>About 40 mm jaws and 70 mm opening. Check bench lip/clamping fit. Use removable soft jaw protection; not a heavy hammering or pressing station.
Timing: Buy now</x:v>
      </x:c>
      <x:c r="I26" s="27" t="str">
        <x:v>Stanley 1-83-067 125 mm fixed bench vise only if substantial metalworking develops</x:v>
      </x:c>
      <x:c r="J26" s="27" t="str">
        <x:v>Quote needed</x:v>
      </x:c>
      <x:c r="K26" s="27" t="str">
        <x:v>TME Israel-facing catalog
Israel-facing listing verified; exact price/stock not verified.</x:v>
      </x:c>
      <x:c r="L26" s="32" t="str">
        <x:v>https://www.tme.com/il/en/details/stl-1-83-069/vices-and-clamps/stanley/1-83-069/</x:v>
      </x:c>
      <x:c r="M26" s="32" t="str">
        <x:v>https://www.stanleytools.co.uk/product/1-83-067/stanley-125mm-heavy-duty-bench-vice</x:v>
      </x:c>
      <x:c r="N26" s="27" t="str">
        <x:v>2026-09-29</x:v>
      </x:c>
    </x:row>
    <x:row r="27" ht="88" customHeight="1">
      <x:c r="A27" s="27" t="str">
        <x:v>16</x:v>
      </x:c>
      <x:c r="B27" s="27" t="str">
        <x:v>mechanical</x:v>
      </x:c>
      <x:c r="C27" s="27" t="str">
        <x:v>Small clamps</x:v>
      </x:c>
      <x:c r="D27" s="27" t="str">
        <x:v>Bessey EZS15-8 one-handed clamp, 150 mm opening / 80 mm throat</x:v>
      </x:c>
      <x:c r="E27" s="28" t="str">
        <x:v>1 · Build basics</x:v>
      </x:c>
      <x:c r="F27" s="27" t="str">
        <x:v>4</x:v>
      </x:c>
      <x:c r="G27" s="27" t="str">
        <x:v>Holds assemblies, backing boards and drilling workpieces; pads protect prints.</x:v>
      </x:c>
      <x:c r="H27" s="27" t="str">
        <x:v>150 mm opening includes the workpiece plus bench/backing thickness. Do not over-compress hollow prints.
Timing: Buy now</x:v>
      </x:c>
      <x:c r="I27" s="27" t="str"/>
      <x:c r="J27" s="27" t="str">
        <x:v>Quote needed</x:v>
      </x:c>
      <x:c r="K27" s="27" t="str">
        <x:v>Bessey dealer / TME
Exact EZS15-8 verified in manufacturer catalog; local stock unconfirmed.</x:v>
      </x:c>
      <x:c r="L27" s="32" t="str">
        <x:v>https://bessey.de/en-gb/bessey-tool/products/clamping-tools/one-handed-clamps/one-handed-clamp-ezs</x:v>
      </x:c>
      <x:c r="M27" s="32" t="str"/>
      <x:c r="N27" s="27" t="str">
        <x:v>2026-09-29</x:v>
      </x:c>
    </x:row>
    <x:row r="28" ht="88" customHeight="1">
      <x:c r="A28" s="27" t="str">
        <x:v>17</x:v>
      </x:c>
      <x:c r="B28" s="27" t="str">
        <x:v>mechanical</x:v>
      </x:c>
      <x:c r="C28" s="27" t="str">
        <x:v>Compact drill/driver kit</x:v>
      </x:c>
      <x:c r="D28" s="27" t="str">
        <x:v>Bosch Professional GSR 12V-15 kit, Z-Tools SKU 15990.G6L (2 Ah + 4 Ah batteries, charger, bag, accessories)</x:v>
      </x:c>
      <x:c r="E28" s="30" t="str">
        <x:v>Check home first</x:v>
      </x:c>
      <x:c r="F28" s="27" t="str">
        <x:v>1 kit</x:v>
      </x:c>
      <x:c r="G28" s="27" t="str">
        <x:v>Small, controllable drill for plastic, wood and light metal; 12 V platform suits this bench.</x:v>
      </x:c>
      <x:c r="H28" s="27" t="str">
        <x:v>Local retailer lists 10 mm chuck and charger but does not expose charger input rating. Require Israel-compatible 230 V charger/plug; do not import a 120 V kit. Check included bits before buying item 18.
Timing: Check home</x:v>
      </x:c>
      <x:c r="I28" s="27" t="str">
        <x:v>Reuse an existing variable-speed drill with a standard chuck</x:v>
      </x:c>
      <x:c r="J28" s="27" t="str">
        <x:v>Quote needed</x:v>
      </x:c>
      <x:c r="K28" s="27" t="str">
        <x:v>Z-Tools / Tzalach, Israel
Local kit listing verified; checkout price/stock and charger mains label require confirmation.</x:v>
      </x:c>
      <x:c r="L28" s="32" t="str">
        <x:v>https://www.z-tools.co.il/page_22504</x:v>
      </x:c>
      <x:c r="M28" s="32" t="str">
        <x:v>https://www.bosch-professional.com/il/he/products/gsr-12v-15-060186810C</x:v>
      </x:c>
      <x:c r="N28" s="27" t="str">
        <x:v>2026-09-29</x:v>
      </x:c>
    </x:row>
    <x:row r="29" ht="88" customHeight="1">
      <x:c r="A29" s="27" t="str">
        <x:v>18</x:v>
      </x:c>
      <x:c r="B29" s="27" t="str">
        <x:v>mechanical</x:v>
      </x:c>
      <x:c r="C29" s="27" t="str">
        <x:v>Metric drill bits</x:v>
      </x:c>
      <x:c r="D29" s="27" t="str">
        <x:v>Bosch PRO Metal HSS-G 19-piece set, 2608587013, 1–10 mm in 0.5 mm increments</x:v>
      </x:c>
      <x:c r="E29" s="28" t="str">
        <x:v>1 · Build basics</x:v>
      </x:c>
      <x:c r="F29" s="27" t="str">
        <x:v>1 set, only if not duplicated by drill kit</x:v>
      </x:c>
      <x:c r="G29" s="27" t="str">
        <x:v>Includes requested 1–8 mm sizes and useful larger sizes, with cylindrical shanks.</x:v>
      </x:c>
      <x:c r="H29" s="27" t="str">
        <x:v>Standard set does not include 3.2/4.2 mm clearance drills; add individually when a design specifies them. Tiny bits can be fragile in a hand drill.
Timing: Buy now</x:v>
      </x:c>
      <x:c r="I29" s="27" t="str"/>
      <x:c r="J29" s="27" t="str">
        <x:v>Quote needed</x:v>
      </x:c>
      <x:c r="K29" s="27" t="str">
        <x:v>RS Israel-facing catalog / Bosch dealer
Exact part verified by Bosch and RS Israel catalog; price/stock unconfirmed.</x:v>
      </x:c>
      <x:c r="L29" s="32" t="str">
        <x:v>https://il.rsdelivers.com/product/bosch/2608587013/bosch-19-piece-twist-set-for-metal-10-mm-max-1-mm/2360691</x:v>
      </x:c>
      <x:c r="M29" s="32" t="str"/>
      <x:c r="N29" s="27" t="str">
        <x:v>2026-09-29</x:v>
      </x:c>
    </x:row>
    <x:row r="30" ht="88" customHeight="1">
      <x:c r="A30" s="27" t="str">
        <x:v>19</x:v>
      </x:c>
      <x:c r="B30" s="27" t="str">
        <x:v>mechanical</x:v>
      </x:c>
      <x:c r="C30" s="27" t="str">
        <x:v>Deburring tool</x:v>
      </x:c>
      <x:c r="D30" s="27" t="str">
        <x:v>Noga Burr 3 NG1003</x:v>
      </x:c>
      <x:c r="E30" s="28" t="str">
        <x:v>1 · Build basics</x:v>
      </x:c>
      <x:c r="F30" s="27" t="str">
        <x:v>1</x:v>
      </x:c>
      <x:c r="G30" s="27" t="str">
        <x:v>Replaceable-blade tool for cleaning hole mouths and printed edges; Noga is based in Israel.</x:v>
      </x:c>
      <x:c r="H30" s="27" t="str">
        <x:v>Use light cuts; it can remove too much plastic from a fitted hole. Check included blade types before buying refills.
Timing: Buy now</x:v>
      </x:c>
      <x:c r="I30" s="27" t="str"/>
      <x:c r="J30" s="27" t="str">
        <x:v>Quote needed</x:v>
      </x:c>
      <x:c r="K30" s="27" t="str">
        <x:v>Noga dealer
Manufacturer listing verified; retailer stock/price unconfirmed.</x:v>
      </x:c>
      <x:c r="L30" s="32" t="str">
        <x:v>https://www.noga.com/product/noga-burr-3/</x:v>
      </x:c>
      <x:c r="M30" s="32" t="str"/>
      <x:c r="N30" s="27" t="str">
        <x:v>2026-09-29</x:v>
      </x:c>
    </x:row>
    <x:row r="31" ht="88" customHeight="1">
      <x:c r="A31" s="27" t="str">
        <x:v>20</x:v>
      </x:c>
      <x:c r="B31" s="27" t="str">
        <x:v>mechanical</x:v>
      </x:c>
      <x:c r="C31" s="27" t="str">
        <x:v>Small files and sanding sheets</x:v>
      </x:c>
      <x:c r="D31" s="27" t="str">
        <x:v>Bahco 2-470-16-1-0 six-piece 160 mm needle file set</x:v>
      </x:c>
      <x:c r="E31" s="28" t="str">
        <x:v>1 · Build basics</x:v>
      </x:c>
      <x:c r="F31" s="27" t="str">
        <x:v>1 file set + 1 small pack of sanding sheets</x:v>
      </x:c>
      <x:c r="G31" s="27" t="str">
        <x:v>Six file shapes cover small holes/slots; sanding sheets cover broad surfaces.</x:v>
      </x:c>
      <x:c r="H31" s="27" t="str">
        <x:v>Manufacturer lists one handle with the set. Sandpaper is a supplement, not a substitute for shaping slots; avoid rounding precise mating faces.
Timing: Buy now</x:v>
      </x:c>
      <x:c r="I31" s="27" t="str">
        <x:v>For sanding surfaces: 3M SandBlaster Pro 423-220G-SBP, 220 grit; add 120 grit only for rougher removal</x:v>
      </x:c>
      <x:c r="J31" s="27" t="str">
        <x:v>Quote needed</x:v>
      </x:c>
      <x:c r="K31" s="27" t="str">
        <x:v>Bahco / 3M dealers
Manufacturer models verified; local stock unconfirmed.</x:v>
      </x:c>
      <x:c r="L31" s="32" t="str">
        <x:v>https://www.bahco.com/int_en/needle-file-set-second-cut-unhandled-160-mm---6-pcs-pb_2-470-16-1-0_.html</x:v>
      </x:c>
      <x:c r="M31" s="32" t="str">
        <x:v>https://www.3m.com/3M/en_US/p/d/v101164035/</x:v>
      </x:c>
      <x:c r="N31" s="27" t="str">
        <x:v>2026-09-29</x:v>
      </x:c>
    </x:row>
    <x:row r="32" ht="88" customHeight="1">
      <x:c r="A32" s="27" t="str">
        <x:v>21</x:v>
      </x:c>
      <x:c r="B32" s="27" t="str">
        <x:v>mechanical</x:v>
      </x:c>
      <x:c r="C32" s="27" t="str">
        <x:v>Center punch and layout marker</x:v>
      </x:c>
      <x:c r="D32" s="27" t="str">
        <x:v>Draper Expert Automatic Centre Punch 13612 + edding 3000 black permanent marker</x:v>
      </x:c>
      <x:c r="E32" s="28" t="str">
        <x:v>1 · Build basics</x:v>
      </x:c>
      <x:c r="F32" s="27" t="str">
        <x:v>1 punch + 1 marker</x:v>
      </x:c>
      <x:c r="G32" s="27" t="str">
        <x:v>Locates drilled holes; automatic punch avoids needing another striking tool.</x:v>
      </x:c>
      <x:c r="H32" s="27" t="str">
        <x:v>Mark metal only when clamped and supported; avoid punching brittle printed parts. Marker selection verified at https://www.edding.com/products/edding-3000-permanent-marker/
Timing: Buy now</x:v>
      </x:c>
      <x:c r="I32" s="27" t="str">
        <x:v>Stanley 0-58-120 manual 3.2 mm center punch if a suitable hammer is already owned</x:v>
      </x:c>
      <x:c r="J32" s="27" t="str">
        <x:v>Quote needed</x:v>
      </x:c>
      <x:c r="K32" s="27" t="str">
        <x:v>Draper / edding dealers
Manufacturer products verified; local stock unconfirmed.</x:v>
      </x:c>
      <x:c r="L32" s="32" t="str">
        <x:v>https://www.drapertools.com/product/13612/draper-expert-automatic-centre-punch/</x:v>
      </x:c>
      <x:c r="M32" s="32" t="str">
        <x:v>https://www.stanleytools.co.uk/product/0-58-120/32mm-single-center-punch</x:v>
      </x:c>
      <x:c r="N32" s="27" t="str">
        <x:v>2026-09-29</x:v>
      </x:c>
    </x:row>
    <x:row r="33" ht="88" customHeight="1">
      <x:c r="A33" s="27" t="str">
        <x:v>22</x:v>
      </x:c>
      <x:c r="B33" s="27" t="str">
        <x:v>mechanical</x:v>
      </x:c>
      <x:c r="C33" s="27" t="str">
        <x:v>Sacrificial drilling backing board</x:v>
      </x:c>
      <x:c r="D33" s="27" t="str">
        <x:v>Reuse a flat plywood/wood offcut; purchased fallback: IKEA APTITLIG 802.334.30, 45 x 28 x 1.6 cm</x:v>
      </x:c>
      <x:c r="E33" s="30" t="str">
        <x:v>Check home first</x:v>
      </x:c>
      <x:c r="F33" s="27" t="str">
        <x:v>1</x:v>
      </x:c>
      <x:c r="G33" s="27" t="str">
        <x:v>Protects the table and supports the drill exit. An offcut is preferable to a dedicated branded accessory.</x:v>
      </x:c>
      <x:c r="H33" s="27" t="str">
        <x:v>Clamp board and workpiece. This is an adapted workshop use, not manufacturer certification as a drill accessory. Do not return used workshop board to food preparation.
Timing: Check home</x:v>
      </x:c>
      <x:c r="I33" s="27" t="str"/>
      <x:c r="J33" s="27" t="str">
        <x:v>Fallback IKEA board: ILS 29 displayed; delivery and VAT treatment not separately itemized.</x:v>
      </x:c>
      <x:c r="K33" s="27" t="str">
        <x:v>Check home / IKEA Israel
Israel listing/price verified; branch stock requires checking.</x:v>
      </x:c>
      <x:c r="L33" s="32" t="str">
        <x:v>https://www.ikea.com/il/he/p/aptitlig-chopping-board-bamboo-80233430/</x:v>
      </x:c>
      <x:c r="M33" s="32" t="str"/>
      <x:c r="N33" s="27" t="str">
        <x:v>2026-09-29</x:v>
      </x:c>
    </x:row>
    <x:row r="34" ht="88" customHeight="1">
      <x:c r="A34" s="27" t="str">
        <x:v>23</x:v>
      </x:c>
      <x:c r="B34" s="27" t="str">
        <x:v>mechanical</x:v>
      </x:c>
      <x:c r="C34" s="27" t="str">
        <x:v>Bench brush, dustpan and chip container</x:v>
      </x:c>
      <x:c r="D34" s="27" t="str">
        <x:v>IKEA PEPPRIG 105.270.87 dustpan-and-brush set + reused rigid lidded container</x:v>
      </x:c>
      <x:c r="E34" s="30" t="str">
        <x:v>Check home first</x:v>
      </x:c>
      <x:c r="F34" s="27" t="str">
        <x:v>1 set + 1 container</x:v>
      </x:c>
      <x:c r="G34" s="27" t="str">
        <x:v>Inexpensive dedicated cleanup kit prevents swarf moving into electronics work.</x:v>
      </x:c>
      <x:c r="H34" s="27" t="str">
        <x:v>Cold chips only; dedicate to the lab. Brush rather than hand-wipe chips. Container is reused household stock, not a separate premium purchase.
Timing: Check home</x:v>
      </x:c>
      <x:c r="I34" s="27" t="str"/>
      <x:c r="J34" s="27" t="str">
        <x:v>Quote needed</x:v>
      </x:c>
      <x:c r="K34" s="27" t="str">
        <x:v>IKEA Israel / check home
Israel product page verified; current price and branch stock unconfirmed.</x:v>
      </x:c>
      <x:c r="L34" s="32" t="str">
        <x:v>https://www.ikea.com/il/he/p/pepprig-dust-pan-and-brush-grey-10527087/</x:v>
      </x:c>
      <x:c r="M34" s="32" t="str"/>
      <x:c r="N34" s="27" t="str">
        <x:v>2026-09-29</x:v>
      </x:c>
    </x:row>
    <x:row r="35" ht="88" customHeight="1">
      <x:c r="A35" s="27" t="str">
        <x:v>24</x:v>
      </x:c>
      <x:c r="B35" s="27" t="str">
        <x:v>mechanical</x:v>
      </x:c>
      <x:c r="C35" s="27" t="str">
        <x:v>Eye protection</x:v>
      </x:c>
      <x:c r="D35" s="27" t="str">
        <x:v>3M SecureFit SF401AF clear anti-fog safety glasses (400 series)</x:v>
      </x:c>
      <x:c r="E35" s="28" t="str">
        <x:v>1 · Build basics</x:v>
      </x:c>
      <x:c r="F35" s="27" t="str">
        <x:v>1 pair</x:v>
      </x:c>
      <x:c r="G35" s="27" t="str">
        <x:v>Lightweight eye protection for clipping leads, drilling and mechanical work.</x:v>
      </x:c>
      <x:c r="H35" s="27" t="str">
        <x:v>Check fit; if prescription glasses are worn, select a certified over-glasses model instead. Not laser protection, sealed chemical goggles or a substitute for task-specific face protection.
Timing: Buy now</x:v>
      </x:c>
      <x:c r="I35" s="27" t="str"/>
      <x:c r="J35" s="27" t="str">
        <x:v>Quote needed</x:v>
      </x:c>
      <x:c r="K35" s="27" t="str">
        <x:v>3M authorized safety-equipment dealer
Manufacturer model verified; local seller/stock unconfirmed.</x:v>
      </x:c>
      <x:c r="L35" s="32" t="str">
        <x:v>https://www.3m.com/3M/en_US/p/d/b00050518/</x:v>
      </x:c>
      <x:c r="M35" s="32" t="str"/>
      <x:c r="N35" s="27" t="str">
        <x:v>2026-09-29</x:v>
      </x:c>
    </x:row>
    <x:row r="36" ht="102" customHeight="1">
      <x:c r="A36" s="27" t="str">
        <x:v>25</x:v>
      </x:c>
      <x:c r="B36" s="27" t="str">
        <x:v>hardware</x:v>
      </x:c>
      <x:c r="C36" s="27" t="str">
        <x:v>M3 socket-head screws</x:v>
      </x:c>
      <x:c r="D36" s="27" t="str">
        <x:v>Commodity A2/304 stainless DIN 912 / ISO 4762 socket-head cap screws; TopTool 10-piece size packs</x:v>
      </x:c>
      <x:c r="E36" s="28" t="str">
        <x:v>1 · Build basics</x:v>
      </x:c>
      <x:c r="F36" s="27" t="str">
        <x:v>100 screws total: 20 each of M3×8, ×10, ×12, ×16 and ×20 mm; TopTool = two 10-packs per length</x:v>
      </x:c>
      <x:c r="G36" s="27" t="str">
        <x:v>Consistent mechanical stock for printed assemblies; ordinary standardized hardware avoids boutique-kit premiums.</x:v>
      </x:c>
      <x:c r="H36" s="27" t="str">
        <x:v>M3 coarse thread; length measured under head. DIN 912 M3 socket takes 2.5 mm hex driver. Do not substitute button/countersunk heads without revising clearances. If a combined kit already supplies these exact sizes, subtract its counts from this row and row27.
Timing: Core</x:v>
      </x:c>
      <x:c r="I36" s="27" t="str">
        <x:v>Accu SSCF-M3-8-A2 family, selecting each required length; or obtain a small-quantity local fastener quote</x:v>
      </x:c>
      <x:c r="J36" s="27" t="str">
        <x:v>Quote/selected-variant checkout needed; full 100-screw basket price and delivery not observed.</x:v>
      </x:c>
      <x:c r="K36" s="27" t="str">
        <x:v>TopTool Israel (conditional preorder); Accu alternative
TopTool explicitly says arriving soon / preorder; all requested lengths listed. Do not treat listing as ready stock. Accu listed; Israel shipping/stock unconfirmed.</x:v>
      </x:c>
      <x:c r="L36" s="32" t="str">
        <x:v>https://www.toptool.co.il/product/אלן-עם-ראש-נירוסטה/</x:v>
      </x:c>
      <x:c r="M36" s="32" t="str">
        <x:v>https://www.accu.co.uk/metric-cap-head-screws/3818-SSCF-M3-8-A2</x:v>
      </x:c>
      <x:c r="N36" s="27" t="str">
        <x:v>2026-09-29</x:v>
      </x:c>
    </x:row>
    <x:row r="37" ht="88" customHeight="1">
      <x:c r="A37" s="27" t="str">
        <x:v>26</x:v>
      </x:c>
      <x:c r="B37" s="27" t="str">
        <x:v>hardware</x:v>
      </x:c>
      <x:c r="C37" s="27" t="str">
        <x:v>M4 socket-head screws</x:v>
      </x:c>
      <x:c r="D37" s="27" t="str">
        <x:v>Commodity A2/304 stainless DIN 912 / ISO 4762 socket-head cap screws; TopTool 10-piece size packs</x:v>
      </x:c>
      <x:c r="E37" s="28" t="str">
        <x:v>1 · Build basics</x:v>
      </x:c>
      <x:c r="F37" s="27" t="str">
        <x:v>40 screws total: 10 each of M4×12, ×16, ×20 and ×25 mm</x:v>
      </x:c>
      <x:c r="G37" s="27" t="str">
        <x:v>Complements M3 with a larger joint size without buying a huge mixed assortment.</x:v>
      </x:c>
      <x:c r="H37" s="27" t="str">
        <x:v>M4 coarse thread; under-head lengths; 3 mm hex socket for DIN 912 M4. Deduct quantities from any combined kit; nuts/washers are row28, not an additional duplicate kit.
Timing: Core</x:v>
      </x:c>
      <x:c r="I37" s="27" t="str">
        <x:v>Accu SSCF-M4-12-A2 family, selecting each required length; local fastener quote for exact specification</x:v>
      </x:c>
      <x:c r="J37" s="27" t="str">
        <x:v>Quote/selected-variant checkout needed; complete basket and delivery not observed.</x:v>
      </x:c>
      <x:c r="K37" s="27" t="str">
        <x:v>TopTool Israel (conditional preorder); Accu alternative
TopTool requested sizes listed but page says preorder; alternative listing present, availability/Israel delivery unconfirmed.</x:v>
      </x:c>
      <x:c r="L37" s="32" t="str">
        <x:v>https://www.toptool.co.il/product/אלן-עם-ראש-נירוסטה/</x:v>
      </x:c>
      <x:c r="M37" s="32" t="str">
        <x:v>https://www.accu.co.uk/metric-cap-head-screws/3839-SSCF-M4-12-A2</x:v>
      </x:c>
      <x:c r="N37" s="27" t="str">
        <x:v>2026-09-29</x:v>
      </x:c>
    </x:row>
    <x:row r="38" ht="132" customHeight="1">
      <x:c r="A38" s="27" t="str">
        <x:v>27</x:v>
      </x:c>
      <x:c r="B38" s="27" t="str">
        <x:v>hardware</x:v>
      </x:c>
      <x:c r="C38" s="27" t="str">
        <x:v>M3 nuts and washers</x:v>
      </x:c>
      <x:c r="D38" s="27" t="str">
        <x:v>A2/304 M3 DIN 934 hex nuts + DIN 985 nylon-insert locknuts + DIN 125A/ISO 7089 flat washers; buy counted quantities from a local fastener supplier</x:v>
      </x:c>
      <x:c r="E38" s="28" t="str">
        <x:v>1 · Build basics</x:v>
      </x:c>
      <x:c r="F38" s="27" t="str">
        <x:v>100 nuts total = 80 plain + 20 locknuts; 200 flat washers</x:v>
      </x:c>
      <x:c r="G38" s="27" t="str">
        <x:v>Completes screw joints and provides some vibration-resistant options; no need for a large assortment of unused diameters.</x:v>
      </x:c>
      <x:c r="H38" s="27" t="str">
        <x:v>All M3 coarse; plain nut nominal spanner size 5.5 mm. Allow extra height for locknuts. Nut total includes locknuts, not 100 plus 20. TopTool 326-piece mixed nut kit is an alternative only after checking counts, not an additional purchase. Washer source: https://www.toptool.co.il/product/דיסקית-שטוחה-נירוסטה/ ; locknut family: Barsys N202-ni (DIN985/A2), small-quantity quote required.
Timing: Core</x:v>
      </x:c>
      <x:c r="I38" s="27" t="str">
        <x:v>Accu HPN-M3-A2 nuts and equivalent A2 washers/locknuts in one consolidated order</x:v>
      </x:c>
      <x:c r="J38" s="27" t="str">
        <x:v>Quote needed for counted A2 set; exact selected-size price not verified.</x:v>
      </x:c>
      <x:c r="K38" s="27" t="str">
        <x:v>Local fastener supplier / TopTool / Barsys small-quantity quote; Accu alternative
Product families listed; target counts, small-order terms and stock require confirmation.</x:v>
      </x:c>
      <x:c r="L38" s="32" t="str">
        <x:v>https://www.toptool.co.il/product/326-אום-נירוסטה-304/</x:v>
      </x:c>
      <x:c r="M38" s="32" t="str">
        <x:v>https://www.accu.co.uk/hexagon-nuts/7888-HPN-M3-A2</x:v>
      </x:c>
      <x:c r="N38" s="27" t="str">
        <x:v>2026-09-29</x:v>
      </x:c>
    </x:row>
    <x:row r="39" ht="88" customHeight="1">
      <x:c r="A39" s="27" t="str">
        <x:v>28</x:v>
      </x:c>
      <x:c r="B39" s="27" t="str">
        <x:v>hardware</x:v>
      </x:c>
      <x:c r="C39" s="27" t="str">
        <x:v>M4 nuts and washers</x:v>
      </x:c>
      <x:c r="D39" s="27" t="str">
        <x:v>A2/304 M4 DIN 934 hex nuts + DIN 985 nylon-insert locknuts + DIN 125A/ISO 7089 flat washers, counted local order</x:v>
      </x:c>
      <x:c r="E39" s="28" t="str">
        <x:v>1 · Build basics</x:v>
      </x:c>
      <x:c r="F39" s="27" t="str">
        <x:v>40 nuts total = 30 plain + 10 locknuts; 80 flat washers</x:v>
      </x:c>
      <x:c r="G39" s="27" t="str">
        <x:v>Matches the 40-screw M4 starter stock.</x:v>
      </x:c>
      <x:c r="H39" s="27" t="str">
        <x:v>M4 coarse; standard plain nut nominal spanner size 7 mm. Subtract overlapping contents from combined kits. Nuts and washers do not need the same head/outer dimensions as M3. Washer family listing: https://www.toptool.co.il/product/דיסקית-שטוחה-נירוסטה/ .
Timing: Core</x:v>
      </x:c>
      <x:c r="I39" s="27" t="str">
        <x:v>Accu HPN-M4-A2 nuts and matching A2 washers/locknuts</x:v>
      </x:c>
      <x:c r="J39" s="27" t="str">
        <x:v>Quote needed; full counted set price not observed.</x:v>
      </x:c>
      <x:c r="K39" s="27" t="str">
        <x:v>Local fastener supplier / TopTool; Accu alternative
Families listed; quantity, stock and delivery unconfirmed.</x:v>
      </x:c>
      <x:c r="L39" s="32" t="str">
        <x:v>https://www.toptool.co.il/product/326-אום-נירוסטה-304/</x:v>
      </x:c>
      <x:c r="M39" s="32" t="str">
        <x:v>https://www.accu.co.uk/hexagon-nuts/7890-HPN-M4-A2</x:v>
      </x:c>
      <x:c r="N39" s="27" t="str">
        <x:v>2026-09-29</x:v>
      </x:c>
    </x:row>
    <x:row r="40" ht="132" customHeight="1">
      <x:c r="A40" s="27" t="str">
        <x:v>29</x:v>
      </x:c>
      <x:c r="B40" s="27" t="str">
        <x:v>hardware</x:v>
      </x:c>
      <x:c r="C40" s="27" t="str">
        <x:v>Small board mounting hardware and M3 standoffs</x:v>
      </x:c>
      <x:c r="D40" s="27" t="str">
        <x:v>Counted nylon board-mount stock: M2 and M2.5 screws/nuts, plus M3 female–female 6/10 mm standoffs; select after measuring owned boards</x:v>
      </x:c>
      <x:c r="E40" s="30" t="str">
        <x:v>Check home first</x:v>
      </x:c>
      <x:c r="F40" s="27" t="str">
        <x:v>Target 20 each M2 and M2.5 screws with matching nuts; 20 M3 standoffs split 6/10 mm. Alternatively one matching-size kit replaces its counted items, not all kits together.</x:v>
      </x:c>
      <x:c r="G40" s="27" t="str">
        <x:v>Supports electronics mechanically and avoids forcing an M3 fastener through a smaller board hole.</x:v>
      </x:c>
      <x:c r="H40" s="27" t="str">
        <x:v>Verify actual board hole diameter and component/connector underside clearance. Nylon mounts are for electronics, not loaded robot joints. Adafruit M2.5 kit is not M2; M3 kit is not M2.5. Do not buy unrelated imperial motherboard hardware. M2 product family: DFRobot White Nylon Screw and Mounting Kit (M2, 260 PCS), https://www.dfrobot.com/product-2024.html; optional only, not a requirement to buy another large kit.
Timing: Core after board inventory</x:v>
      </x:c>
      <x:c r="I40" s="27" t="str">
        <x:v>Adafruit 3299 M2.5 nylon screw/standoff set; Adafruit 4685 M3 set only if substantial M3 mounting stock is needed</x:v>
      </x:c>
      <x:c r="J40" s="27" t="str">
        <x:v>Counted stock quote needed; current kit prices not reliably exposed in retrieved pages.</x:v>
      </x:c>
      <x:c r="K40" s="27" t="str">
        <x:v>Local electronics/fastener seller for counted stock; Adafruit/DFRobot alternatives
Exact kit listings verified; counted stock and Israel delivery unconfirmed. Inventory board holes first.</x:v>
      </x:c>
      <x:c r="L40" s="32" t="str">
        <x:v>https://www.adafruit.com/product/3299</x:v>
      </x:c>
      <x:c r="M40" s="32" t="str">
        <x:v>https://www.adafruit.com/product/4685</x:v>
      </x:c>
      <x:c r="N40" s="27" t="str">
        <x:v>2026-09-29</x:v>
      </x:c>
    </x:row>
    <x:row r="41" ht="102" customHeight="1">
      <x:c r="A41" s="27" t="str">
        <x:v>30</x:v>
      </x:c>
      <x:c r="B41" s="27" t="str">
        <x:v>hardware</x:v>
      </x:c>
      <x:c r="C41" s="27" t="str">
        <x:v>M3 heat-set inserts</x:v>
      </x:c>
      <x:c r="D41" s="27" t="str">
        <x:v>CNC Kitchen M3 standard, M3×5.7 mm, via Prusa; single-size pack</x:v>
      </x:c>
      <x:c r="E41" s="28" t="str">
        <x:v>1 · Build basics</x:v>
      </x:c>
      <x:c r="F41" s="27" t="str">
        <x:v>Starter need 50; observed named retail packs contain 100, so buy one 100-pack if no documented 50-pack is available; do not also buy an assortment</x:v>
      </x:c>
      <x:c r="G41" s="27" t="str">
        <x:v>Repeatable insert dimensions for reusable printed enclosures and brackets.</x:v>
      </x:c>
      <x:c r="H41" s="27" t="str">
        <x:v>M3 identifies internal thread only. Use selected manufacturer's hole and boss drawing; different brands/lengths are not drop-in equivalent. Print an insertion coupon. Row31 supplies the insertion tool, not more inserts.
Timing: Core</x:v>
      </x:c>
      <x:c r="I41" s="27" t="str">
        <x:v>ruthex RX-M3×5.7, single-size 100-piece pack</x:v>
      </x:c>
      <x:c r="J41" s="27" t="str">
        <x:v>Quote/current checkout needed; no dependable current price exposed.</x:v>
      </x:c>
      <x:c r="K41" s="27" t="str">
        <x:v>Prusa (CNC Kitchen); ruthex official store alternative
Both exact 100-piece product listings verified; Israel fulfillment and landed cost unconfirmed.</x:v>
      </x:c>
      <x:c r="L41" s="32" t="str">
        <x:v>https://www.prusa3d.com/en/product/heat-set-inserts-m3-standard-100-pcs/</x:v>
      </x:c>
      <x:c r="M41" s="32" t="str">
        <x:v>https://www.ruthex.de/products/ruthex-gewindeeinsatz-m3-100-stuck-rx-m3x5-7-messing-gewindebuchsen</x:v>
      </x:c>
      <x:c r="N41" s="27" t="str">
        <x:v>2026-09-29</x:v>
      </x:c>
    </x:row>
    <x:row r="42" ht="102" customHeight="1">
      <x:c r="A42" s="27" t="str">
        <x:v>31</x:v>
      </x:c>
      <x:c r="B42" s="27" t="str">
        <x:v>hardware</x:v>
      </x:c>
      <x:c r="C42" s="27" t="str">
        <x:v>Pinecil-compatible insert installation tip and adapter</x:v>
      </x:c>
      <x:c r="D42" s="27" t="str">
        <x:v>PINE64 PINECIL Threaded Insert Tips Set and Adapter, SKU PINECIL-Inserts-Set</x:v>
      </x:c>
      <x:c r="E42" s="28" t="str">
        <x:v>1 · Build basics</x:v>
      </x:c>
      <x:c r="F42" s="27" t="str">
        <x:v>1 set; includes M3 tip and adapter; choose one of the two sets</x:v>
      </x:c>
      <x:c r="G42" s="27" t="str">
        <x:v>Dedicated insert face; consolidates with genuine Pinecil order at lower observed price.</x:v>
      </x:c>
      <x:c r="H42" s="27" t="str">
        <x:v>Manufacturer Pinecil set includes M2/M2.5/M3/M4/M5/M6/M8. Compatible choice for the Pinecil V2 selected by electronics agent. Do not substitute T12, 900M, C245 or bare threaded tips without the matching cartridge/adapter. Allow iron to cool before cartridge changes.
Timing: Core</x:v>
      </x:c>
      <x:c r="I42" s="27" t="str">
        <x:v>CNC Kitchen TS100/TS101 installation tips SET plus adapter sold by Prusa; explicitly Pinecil compatible</x:v>
      </x:c>
      <x:c r="J42" s="27" t="str">
        <x:v>PINE64 observed community price US$14.99 (retail US$19.99). Prusa alternative observed US$24.90 on US display. Shipping/import taxes and Israel checkout totals unverified.</x:v>
      </x:c>
      <x:c r="K42" s="27" t="str">
        <x:v>PINE64 official store; Prusa alternative
Both pages showed in stock; Israel delivery needs checkout confirmation.</x:v>
      </x:c>
      <x:c r="L42" s="32" t="str">
        <x:v>https://pine64.com/product/pinecil-threaded-insert-tips-set-and-adapter/</x:v>
      </x:c>
      <x:c r="M42" s="32" t="str">
        <x:v>https://www.prusa3d.com/en/product/ts100-101-soldering-adapter-tips-set/</x:v>
      </x:c>
      <x:c r="N42" s="27" t="str">
        <x:v>2026-09-29</x:v>
      </x:c>
    </x:row>
    <x:row r="43" ht="102" customHeight="1">
      <x:c r="A43" s="27" t="str">
        <x:v>32</x:v>
      </x:c>
      <x:c r="B43" s="27" t="str">
        <x:v>hardware</x:v>
      </x:c>
      <x:c r="C43" s="27" t="str">
        <x:v>Rubber feet and sheet</x:v>
      </x:c>
      <x:c r="D43" s="27" t="str">
        <x:v>Adafruit 550 Little Rubber Bumper Feet (4-pack) or equivalent small retail pack; one small 2–3 mm rubber sheet offcut from local supplier</x:v>
      </x:c>
      <x:c r="E43" s="28" t="str">
        <x:v>1 · Build basics</x:v>
      </x:c>
      <x:c r="F43" s="27" t="str">
        <x:v>12–20 feet; one roughly A4 rubber sheet/offcut</x:v>
      </x:c>
      <x:c r="G43" s="27" t="str">
        <x:v>Feet for enclosures; soft jaws, pads and traction experiments from sheet stock.</x:v>
      </x:c>
      <x:c r="H43" s="27" t="str">
        <x:v>Adhesive bumpers are general bench feet, not a validated permanent wet-load attachment. For wet or heavily loaded work use captured/screw-mounted pads as needed. Check actual dimensions and adhesive suitability. Rubber sheet thickness/type is a requested local specification, not a verified named SKU.
Timing: Core</x:v>
      </x:c>
      <x:c r="I43" s="27" t="str">
        <x:v>3M Bumpon SJ5302 retail sheet/strip, not manufacturer's 3,000-piece case</x:v>
      </x:c>
      <x:c r="J43" s="27" t="str">
        <x:v>Quote needed; exact small-pack retail price not verified. Avoid bulk-case purchasing.</x:v>
      </x:c>
      <x:c r="K43" s="27" t="str">
        <x:v>Adafruit or local hardware/rubber supplier; 3M distributor alternative
Bumper families verified; retail quantity, stock and sheet offcut require seller confirmation.</x:v>
      </x:c>
      <x:c r="L43" s="32" t="str">
        <x:v>https://www.adafruit.com/product/550</x:v>
      </x:c>
      <x:c r="M43" s="32" t="str">
        <x:v>https://www.3m.com/3M/en_US/p/d/b5005035183/</x:v>
      </x:c>
      <x:c r="N43" s="27" t="str">
        <x:v>2026-09-29</x:v>
      </x:c>
    </x:row>
    <x:row r="44" ht="102" customHeight="1">
      <x:c r="A44" s="27" t="str">
        <x:v>33</x:v>
      </x:c>
      <x:c r="B44" s="27" t="str">
        <x:v>electronics</x:v>
      </x:c>
      <x:c r="C44" s="27" t="str">
        <x:v>Digital multimeter</x:v>
      </x:c>
      <x:c r="D44" s="27" t="str">
        <x:v>Brymen BM235</x:v>
      </x:c>
      <x:c r="E44" s="28" t="str">
        <x:v>2 · Electronics</x:v>
      </x:c>
      <x:c r="F44" s="27" t="str">
        <x:v>1</x:v>
      </x:c>
      <x:c r="G44" s="27" t="str">
        <x:v>Continuity, DC rails and current measurements; useful everyday bench instrument.</x:v>
      </x:c>
      <x:c r="H44" s="27" t="str">
        <x:v>Includes ordinary test leads and K-type probe; do not buy another basic lead pair. Fine grabbers remain a separate accessory. Two AAA cells. Manufacturer: https://brymen.eu/product/bm235/
Timing: Core now</x:v>
      </x:c>
      <x:c r="I44" s="27" t="str">
        <x:v>Same BM235 from Eleshop; compare landed totals</x:v>
      </x:c>
      <x:c r="J44" s="27" t="str">
        <x:v>TME Israel latest recheck: USD112.88 net, shipping/import costs extra. Eleshop EUR86.00 excluding VAT, shipping/import costs unverified.</x:v>
      </x:c>
      <x:c r="K44" s="27" t="str">
        <x:v>TME Israel; Eleshop EU alternative
TME latest recheck showed 55 in stock and a regional shipping-delay notice. Stock/price changed during research; verify checkout. Eleshop stock dynamic; BM235-WB separately showed no stock.</x:v>
      </x:c>
      <x:c r="L44" s="32" t="str">
        <x:v>https://www.tme.com/il/en/details/bm235/portable-digital-multimeters/brymen/</x:v>
      </x:c>
      <x:c r="M44" s="32" t="str">
        <x:v>https://eleshop.eu/brymen-bm235-multimeter.html</x:v>
      </x:c>
      <x:c r="N44" s="27" t="str">
        <x:v>2026-09-29</x:v>
      </x:c>
    </x:row>
    <x:row r="45" ht="102" customHeight="1">
      <x:c r="A45" s="27" t="str">
        <x:v>34</x:v>
      </x:c>
      <x:c r="B45" s="27" t="str">
        <x:v>electronics</x:v>
      </x:c>
      <x:c r="C45" s="27" t="str">
        <x:v>Current-limited bench power supply</x:v>
      </x:c>
      <x:c r="D45" s="27" t="str">
        <x:v>Siglent SPD1305X</x:v>
      </x:c>
      <x:c r="E45" s="28" t="str">
        <x:v>2 · Electronics</x:v>
      </x:c>
      <x:c r="F45" s="27" t="str">
        <x:v>1, choose one model</x:v>
      </x:c>
      <x:c r="G45" s="27" t="str">
        <x:v>0–30V,0–5A adjustable supply with output control; Siglent adds instrument integration, Korad reduces cost.</x:v>
      </x:c>
      <x:c r="H45" s="27" t="str">
        <x:v>Order230V-compatible unit and Israeli mains lead; verify voltage selector before use. Output leads separate. Korad includes power cord+USB cable, not output leads. Specs: https://siglentna.com/product/spd1305x/ ; Korad manufacturer manual https://storage.eleshop.eu/files/KA3005PSseriesusermanual-EN2.pdf
Timing: Core now</x:v>
      </x:c>
      <x:c r="I45" s="27" t="str">
        <x:v>Korad KA3005PS safety-terminal version</x:v>
      </x:c>
      <x:c r="J45" s="27" t="str">
        <x:v>Siglent EU reference EUR249; VAT and Israel shipping treatment unverified (site free-shipping banner not confirmed for Israel). Korad EUR79 excluding VAT; Israel shipping/import costs unknown.</x:v>
      </x:c>
      <x:c r="K45" s="27" t="str">
        <x:v>Siglent.eu; Eleshop alternative
EU page orderable, exact stock/Israel delivery unverified; Korad stock dynamically loading. Root verified NA Siglent reference $328 with delayed availability, not an Israel quote.</x:v>
      </x:c>
      <x:c r="L45" s="32" t="str">
        <x:v>https://www.siglent.eu/product/1140972/siglent-spd1305x-0-to-30v-0-to-5amp-single-output-power-supply</x:v>
      </x:c>
      <x:c r="M45" s="32" t="str">
        <x:v>https://eleshop.eu/korad-ka3005ps-power-supply-safety-terminals.html</x:v>
      </x:c>
      <x:c r="N45" s="27" t="str">
        <x:v>2026-09-29</x:v>
      </x:c>
    </x:row>
    <x:row r="46" ht="88" customHeight="1">
      <x:c r="A46" s="27" t="str">
        <x:v>35</x:v>
      </x:c>
      <x:c r="B46" s="27" t="str">
        <x:v>electronics</x:v>
      </x:c>
      <x:c r="C46" s="27" t="str">
        <x:v>Temperature-controlled soldering iron</x:v>
      </x:c>
      <x:c r="D46" s="27" t="str">
        <x:v>PINE64 Pinecil V2 / PINECIL-BB2</x:v>
      </x:c>
      <x:c r="E46" s="28" t="str">
        <x:v>2 · Electronics</x:v>
      </x:c>
      <x:c r="F46" s="27" t="str">
        <x:v>1</x:v>
      </x:c>
      <x:c r="G46" s="27" t="str">
        <x:v>Compact active-cartridge iron with adjustable temperature and sleep mode; shares compatible insert-tool ecosystem.</x:v>
      </x:c>
      <x:c r="H46" s="27" t="str">
        <x:v>Package includesST-B2 conical cartridge. Charger,cable,stand not included. Coordinate separate M3 insert adapter row31; do not buy T12/900M bits.
Timing: Core now</x:v>
      </x:c>
      <x:c r="I46" s="27" t="str">
        <x:v>Same genuine iron via authorized reseller if shipping/support preferable</x:v>
      </x:c>
      <x:c r="J46" s="27" t="str">
        <x:v>USD25.99 official community price; retail referenceUSD35.99. Shipping/import taxes unknown.</x:v>
      </x:c>
      <x:c r="K46" s="27" t="str">
        <x:v>PINE64 official store
In stock on opened product page; Israel shipment not checked at checkout.</x:v>
      </x:c>
      <x:c r="L46" s="32" t="str">
        <x:v>https://pine64.com/product/pinecil-smart-mini-portable-soldering-iron/</x:v>
      </x:c>
      <x:c r="M46" s="32" t="str">
        <x:v>https://pine64.org/documentation/Pinecil/_full/</x:v>
      </x:c>
      <x:c r="N46" s="27" t="str">
        <x:v>2026-09-29</x:v>
      </x:c>
    </x:row>
    <x:row r="47" ht="88" customHeight="1">
      <x:c r="A47" s="27" t="str">
        <x:v>36</x:v>
      </x:c>
      <x:c r="B47" s="27" t="str">
        <x:v>electronics</x:v>
      </x:c>
      <x:c r="C47" s="27" t="str">
        <x:v>USB-C PD soldering power supply</x:v>
      </x:c>
      <x:c r="D47" s="27" t="str">
        <x:v>PinePower65W GaN2C1A charger with international plugs / PPOWER-GANCHG2</x:v>
      </x:c>
      <x:c r="E47" s="30" t="str">
        <x:v>Check home first</x:v>
      </x:c>
      <x:c r="F47" s="27" t="str">
        <x:v>1, only if existing charger insufficient</x:v>
      </x:c>
      <x:c r="G47" s="27" t="str">
        <x:v>Known20V profile and consolidated PINE64 order.</x:v>
      </x:c>
      <x:c r="H47" s="27" t="str">
        <x:v>100–240VAC50/60Hz; includesEU/AU/UK adapters; use suitable plug for Israel. SingleC port20V3.25A. Leave other ports unused while soldering: multiport mode drops power/profile. Cable separately purchased.
Timing: Core now</x:v>
      </x:c>
      <x:c r="I47" s="27" t="str">
        <x:v>Reuse existing genuine USB-C PD charger offering20V and at least65W on one port</x:v>
      </x:c>
      <x:c r="J47" s="27" t="str">
        <x:v>USD24.99; shipping/import taxes unknown.</x:v>
      </x:c>
      <x:c r="K47" s="27" t="str">
        <x:v>PINE64 official store
In stock on opened page.</x:v>
      </x:c>
      <x:c r="L47" s="32" t="str">
        <x:v>https://pine64.com/product/pinepower-65w-gan-2c1a-charger-with-international-plugs/</x:v>
      </x:c>
      <x:c r="M47" s="32" t="str">
        <x:v>https://pine64.org/documentation/Pinecil/Checklist/</x:v>
      </x:c>
      <x:c r="N47" s="27" t="str">
        <x:v>2026-09-29</x:v>
      </x:c>
    </x:row>
    <x:row r="48" ht="102" customHeight="1">
      <x:c r="A48" s="27" t="str">
        <x:v>37</x:v>
      </x:c>
      <x:c r="B48" s="27" t="str">
        <x:v>electronics</x:v>
      </x:c>
      <x:c r="C48" s="27" t="str">
        <x:v>Heat-resistant soldering USB cable</x:v>
      </x:c>
      <x:c r="D48" s="27" t="str">
        <x:v>PINE64 silicone USB-C to USB-C1.5m / PINECIL-CC1M5</x:v>
      </x:c>
      <x:c r="E48" s="28" t="str">
        <x:v>2 · Electronics</x:v>
      </x:c>
      <x:c r="F48" s="27" t="str">
        <x:v>1</x:v>
      </x:c>
      <x:c r="G48" s="27" t="str">
        <x:v>Flexible cable intended for Pinecil bench use.</x:v>
      </x:c>
      <x:c r="H48" s="27" t="str">
        <x:v>Manufacturer specifies silicone sleeve and heat resistance up to350°C; treat as power cable and retain separate known-good firmware/data cable. Do not promise full65W/28V with this unverified e-marker specification;20V operation is the intended basic setup.
Timing: Core now</x:v>
      </x:c>
      <x:c r="I48" s="27" t="str">
        <x:v>Same official silicone cable1m / PINECIL-CC1M</x:v>
      </x:c>
      <x:c r="J48" s="27" t="str">
        <x:v>USD3.99 for1.5m;1m alternativeUSD3.49. Shipping/import taxes unknown.</x:v>
      </x:c>
      <x:c r="K48" s="27" t="str">
        <x:v>PINE64 official store
In stock.</x:v>
      </x:c>
      <x:c r="L48" s="32" t="str">
        <x:v>https://pine64.com/product/usb-type-c-to-usb-type-c-silicone-power-charging-cable-1-5-meter-length/</x:v>
      </x:c>
      <x:c r="M48" s="32" t="str">
        <x:v>https://pine64.com/product-category/pinecil/</x:v>
      </x:c>
      <x:c r="N48" s="27" t="str">
        <x:v>2026-09-29</x:v>
      </x:c>
    </x:row>
    <x:row r="49" ht="102" customHeight="1">
      <x:c r="A49" s="27" t="str">
        <x:v>38</x:v>
      </x:c>
      <x:c r="B49" s="27" t="str">
        <x:v>electronics</x:v>
      </x:c>
      <x:c r="C49" s="27" t="str">
        <x:v>Iron stand and brass cleaner</x:v>
      </x:c>
      <x:c r="D49" s="27" t="str">
        <x:v>Hakko FH300-01/P weighted stand + Hakko599B brass tip cleaner</x:v>
      </x:c>
      <x:c r="E49" s="28" t="str">
        <x:v>Confirm fit / SKU</x:v>
      </x:c>
      <x:c r="F49" s="27" t="str">
        <x:v>1 stand +1 cleaner</x:v>
      </x:c>
      <x:c r="G49" s="27" t="str">
        <x:v>A dedicated place for the hot iron and routine tip cleaning.</x:v>
      </x:c>
      <x:c r="H49" s="27" t="str">
        <x:v>Hakko states FH300 takes optional599B; Pinecil fit is NOT manufacturer-certified on opened page—confirm handle seating and tip clearance before buying. If fit cannot be confirmed use explicitly compatiblePINECIL stand. Do not buy cleaner twice if supplied in a retailer bundle.
Timing: Core now</x:v>
      </x:c>
      <x:c r="I49" s="27" t="str">
        <x:v>PINECIL Portable Mini Stand + same brass cleaner; small18g stand needs a stable secured location</x:v>
      </x:c>
      <x:c r="J49" s="27" t="str">
        <x:v>FH300 retailer referenceUSD14.41; Hakko brass cleaner AdafruitUSD10.95, total referenceUSD25.36 before shipping/taxes. PINECIL mini standUSD1.99.</x:v>
      </x:c>
      <x:c r="K49" s="27" t="str">
        <x:v>TEquipment stand / Adafruit cleaner / PINE64 alternative
Stand price reference from retailer catalogue; live stock unverified. Adafruit cleaner and PINECIL stand in stock.</x:v>
      </x:c>
      <x:c r="L49" s="32" t="str">
        <x:v>https://www.tequipment.net/Hakko/FH300-01/Soldering-Accessories</x:v>
      </x:c>
      <x:c r="M49" s="32" t="str">
        <x:v>https://pine64.com/product/pinecil-portable-mini-stand/</x:v>
      </x:c>
      <x:c r="N49" s="27" t="str">
        <x:v>2026-09-29</x:v>
      </x:c>
    </x:row>
    <x:row r="50" ht="88" customHeight="1">
      <x:c r="A50" s="27" t="str">
        <x:v>39</x:v>
      </x:c>
      <x:c r="B50" s="27" t="str">
        <x:v>electronics</x:v>
      </x:c>
      <x:c r="C50" s="27" t="str">
        <x:v>Chisel soldering cartridge</x:v>
      </x:c>
      <x:c r="D50" s="27" t="str">
        <x:v>PINECIL Soldering Short Tip Set(Gross) / PINECIL-TIPS3</x:v>
      </x:c>
      <x:c r="E50" s="28" t="str">
        <x:v>2 · Electronics</x:v>
      </x:c>
      <x:c r="F50" s="27" t="str">
        <x:v>1 set, not4 sets</x:v>
      </x:c>
      <x:c r="G50" s="27" t="str">
        <x:v>IncludesST-D24 chisel useful for headers,wires and connectors.</x:v>
      </x:c>
      <x:c r="H50" s="27" t="str">
        <x:v>IncludesST-I,ST-C4,ST-D24,ST-K; compatible with Pinecil. No additionalST-B2 required because iron includes one. Short tips not genericTS100/T12 accessories.
Timing: Core now</x:v>
      </x:c>
      <x:c r="I50" s="27" t="str">
        <x:v>Buy one genuineST-D24 if authorized seller offers it individually</x:v>
      </x:c>
      <x:c r="J50" s="27" t="str">
        <x:v>USD25.99 for4-tip set; individualST-D24 price not verified. Shipping/import taxes unknown.</x:v>
      </x:c>
      <x:c r="K50" s="27" t="str">
        <x:v>PINE64 official store
Set in stock; individual option not verified.</x:v>
      </x:c>
      <x:c r="L50" s="32" t="str">
        <x:v>https://pine64.com/product/pinecil-soldering-short-tip-set-gross/</x:v>
      </x:c>
      <x:c r="M50" s="32" t="str">
        <x:v>https://wiki.pine64.org/wiki/Pinecil_Tips</x:v>
      </x:c>
      <x:c r="N50" s="27" t="str">
        <x:v>2026-09-29</x:v>
      </x:c>
    </x:row>
    <x:row r="51" ht="88" customHeight="1">
      <x:c r="A51" s="27" t="str">
        <x:v>40</x:v>
      </x:c>
      <x:c r="B51" s="27" t="str">
        <x:v>electronics</x:v>
      </x:c>
      <x:c r="C51" s="27" t="str">
        <x:v>PCB holding fixture</x:v>
      </x:c>
      <x:c r="D51" s="27" t="str">
        <x:v>Pro'sKit SN-390 / Adafruit3791</x:v>
      </x:c>
      <x:c r="E51" s="28" t="str">
        <x:v>2 · Electronics</x:v>
      </x:c>
      <x:c r="F51" s="27" t="str">
        <x:v>1</x:v>
      </x:c>
      <x:c r="G51" s="27" t="str">
        <x:v>Rotates through-hole boards without repeatedly releasing them.</x:v>
      </x:c>
      <x:c r="H51" s="27" t="str">
        <x:v>SN-390 holds boards up to200×140mm,360° rotation; ABS arms+metal base. Keep direct hot air off plastic arms. Retailer technical listing: https://www.adafruit.com/product/3791
Timing: Core now</x:v>
      </x:c>
      <x:c r="I51" s="27" t="str">
        <x:v>Stickvise PCB Vise / Adafruit3197 for flatter compact work</x:v>
      </x:c>
      <x:c r="J51" s="27" t="str">
        <x:v>USD19.95; shipping/import taxes unknown. Alternative price not verified.</x:v>
      </x:c>
      <x:c r="K51" s="27" t="str">
        <x:v>Adafruit
SN-390 in stock.</x:v>
      </x:c>
      <x:c r="L51" s="32" t="str">
        <x:v>https://www.adafruit.com/product/3791</x:v>
      </x:c>
      <x:c r="M51" s="32" t="str">
        <x:v>https://www.adafruit.com/product/3197</x:v>
      </x:c>
      <x:c r="N51" s="27" t="str">
        <x:v>2026-09-29</x:v>
      </x:c>
    </x:row>
    <x:row r="52" ht="88" customHeight="1">
      <x:c r="A52" s="27" t="str">
        <x:v>41</x:v>
      </x:c>
      <x:c r="B52" s="27" t="str">
        <x:v>electronics</x:v>
      </x:c>
      <x:c r="C52" s="27" t="str">
        <x:v>Silicone soldering mat</x:v>
      </x:c>
      <x:c r="D52" s="27" t="str">
        <x:v>Adafruit3536 insulated silicone rework mat34×23cm</x:v>
      </x:c>
      <x:c r="E52" s="28" t="str">
        <x:v>2 · Electronics</x:v>
      </x:c>
      <x:c r="F52" s="27" t="str">
        <x:v>1</x:v>
      </x:c>
      <x:c r="G52" s="27" t="str">
        <x:v>Protects small soldering work area and retains loose parts.</x:v>
      </x:c>
      <x:c r="H52" s="27" t="str">
        <x:v>2–4mm silicone. Not an ESD-control mat; do not represent ordinary silicone as ESD-safe. Avoid duplicating if workbench bundle already includes suitable mat.
Timing: Core now</x:v>
      </x:c>
      <x:c r="I52" s="27" t="str">
        <x:v>Larger equivalent only if stated heat-resistant; ESD mat is a different item</x:v>
      </x:c>
      <x:c r="J52" s="27" t="str">
        <x:v>USD9.95; shipping/import taxes unknown.</x:v>
      </x:c>
      <x:c r="K52" s="27" t="str">
        <x:v>Adafruit
In stock.</x:v>
      </x:c>
      <x:c r="L52" s="32" t="str">
        <x:v>https://www.adafruit.com/product/3536</x:v>
      </x:c>
      <x:c r="M52" s="32" t="str">
        <x:v>https://www.adafruit.com/product/4405</x:v>
      </x:c>
      <x:c r="N52" s="27" t="str">
        <x:v>2026-09-29</x:v>
      </x:c>
    </x:row>
    <x:row r="53" ht="147" customHeight="1">
      <x:c r="A53" s="27" t="str">
        <x:v>42</x:v>
      </x:c>
      <x:c r="B53" s="27" t="str">
        <x:v>electronics</x:v>
      </x:c>
      <x:c r="C53" s="27" t="str">
        <x:v>Solder fume capture and filtration</x:v>
      </x:c>
      <x:c r="D53" s="27" t="str">
        <x:v>Weller ZeroSmog Shield Pro FT91019299</x:v>
      </x:c>
      <x:c r="E53" s="30" t="str">
        <x:v>Get local quote</x:v>
      </x:c>
      <x:c r="F53" s="27" t="str">
        <x:v>1 unit with installedFT91000047 filter and power supply; spare filter optional</x:v>
      </x:c>
      <x:c r="G53" s="27" t="str">
        <x:v>Actual particle+gas filtration for a single close working position, rather than a bare carbon-foam fan.</x:v>
      </x:c>
      <x:c r="H53" s="27" t="str">
        <x:v>Front-inlet tabletop capture; no arm/hose/nozzle required or included. EPAE10 particle+activated-carbon-granule filterFT91000047;110–240VAC according to manufacturer, external24V supply. Verify local quote includes adapter+first filter and suitable plug. Position source close enough for effective capture. This recirculates filtered air; it does not exhaust through window. Manufacturer https://www.weller-tools.com/eu/gb/filtration/products/solder-fumes/zerosmog-shield-pro
Timing: Core now</x:v>
      </x:c>
      <x:c r="I53" s="27" t="str">
        <x:v>Weller ZeroSmogTL Kit1,230V configuration, for articulated-arm source capture; quote complete kit</x:v>
      </x:c>
      <x:c r="J53" s="27" t="str">
        <x:v>ManufacturerEUR266 excluding tax; Polish retailer referenceEUR327.18 incl23%tax, excludes shipping. HLT Israel price/stock quote required. Existing₪1000 figure is an UNQUOTED allowance, not verified landed price.</x:v>
      </x:c>
      <x:c r="K53" s="27" t="str">
        <x:v>HLT/Avdor authorized local listing; Weller EU price reference
Local listing exists, stock/lead time not confirmed; international retailer pre-order14days; Mouser catalogue showed stock but no landed quote.</x:v>
      </x:c>
      <x:c r="L53" s="32" t="str">
        <x:v>https://hlt.co.il/shop/%D7%A6%D7%99%D7%95%D7%93-%D7%94%D7%9C%D7%97%D7%9E%D7%94/%D7%94%D7%9C%D7%97%D7%9E%D7%94/%D7%A9%D7%95%D7%90%D7%91-%D7%A2%D7%A9%D7%9F-%D7%A9%D7%95%D7%9C%D7%97%D7%A0%D7%99/</x:v>
      </x:c>
      <x:c r="M53" s="32" t="str">
        <x:v>https://www.weller-tools.com/us/en/product_datasheet?nid=5751</x:v>
      </x:c>
      <x:c r="N53" s="27" t="str">
        <x:v>2026-09-29</x:v>
      </x:c>
    </x:row>
    <x:row r="54" ht="88" customHeight="1">
      <x:c r="A54" s="27" t="str">
        <x:v>43</x:v>
      </x:c>
      <x:c r="B54" s="27" t="str">
        <x:v>electronics</x:v>
      </x:c>
      <x:c r="C54" s="27" t="str">
        <x:v>Wire stripper</x:v>
      </x:c>
      <x:c r="D54" s="27" t="str">
        <x:v>Pro'sKit 8PK-3001D manual wire stripper, 20–30 AWG</x:v>
      </x:c>
      <x:c r="E54" s="28" t="str">
        <x:v>2 · Electronics</x:v>
      </x:c>
      <x:c r="F54" s="27" t="str">
        <x:v>1 manual stripper initially</x:v>
      </x:c>
      <x:c r="G54" s="27" t="str">
        <x:v>Matches the selected 22/26 AWG signal-wire stock and avoids making an expensive automatic stripper the default.</x:v>
      </x:c>
      <x:c r="H54" s="27" t="str">
        <x:v>Manufacturer lists 20, 22, 24, 26, 28 and 30 AWG openings. Test on the actual conductor construction. A separate suitable tool may be needed when heavier robot power harnesses are designed.
Timing: Core now</x:v>
      </x:c>
      <x:c r="I54" s="27" t="str">
        <x:v>Knipex ComStrip 12 62 180 for repeated 10–24 AWG work; supplemental, not a replacement for fine-wire capability</x:v>
      </x:c>
      <x:c r="J54" s="27" t="str">
        <x:v>Pro’sKit: local quote needed. Optional Knipex reference ₪296.93 excluding VAT / ₪350.38 including VAT at DigiKey Israel; shipping unverified.</x:v>
      </x:c>
      <x:c r="K54" s="27" t="str">
        <x:v>Pro’sKit dealer / Belshop Israel; DigiKey for optional Knipex
Manufacturer sizes verified; local Pro’sKit stock and price require confirmation.</x:v>
      </x:c>
      <x:c r="L54" s="32" t="str">
        <x:v>https://shop.prokits.com.tw/handtools/moreinfo_5636.htm</x:v>
      </x:c>
      <x:c r="M54" s="32" t="str">
        <x:v>https://www.digikey.co.il/en/products/detail/knipex-tools-lp/12-62-180/10451692
https://www.belshop.co.il/items/6647593-%D7%9E%D7%A1%D7%99%D7%A8-%D7%91%D7%99%D7%93%D7%95%D7%93-%D7%A2%D7%9D-%D7%A7%D7%95%D7%A6%D7%A5-%D7%97%D7%95%D7%98%D7%99%D7%9D-PROSKIT-%D7%A2%D7%95%D7%91%D7%99-%D7%97%D7%95%D7%98-0-2-0-8-%D7%9E-%D7%9E</x:v>
      </x:c>
      <x:c r="N54" s="27" t="str">
        <x:v>2026-09-29</x:v>
      </x:c>
    </x:row>
    <x:row r="55" ht="88" customHeight="1">
      <x:c r="A55" s="27" t="str">
        <x:v>44</x:v>
      </x:c>
      <x:c r="B55" s="27" t="str">
        <x:v>electronics</x:v>
      </x:c>
      <x:c r="C55" s="27" t="str">
        <x:v>Controlled hot-air tool for heat-shrink</x:v>
      </x:c>
      <x:c r="D55" s="27" t="str">
        <x:v>Steinel PRO HM2120E,220–230V,EAN4007841089603</x:v>
      </x:c>
      <x:c r="E55" s="28" t="str">
        <x:v>When needed</x:v>
      </x:c>
      <x:c r="F55" s="27" t="str">
        <x:v>1; add matching reflector nozzle only if useful</x:v>
      </x:c>
      <x:c r="G55" s="27" t="str">
        <x:v>Adjustable temperature/airflow for heat-shrink and workshop work.</x:v>
      </x:c>
      <x:c r="H55" s="27" t="str">
        <x:v>2200W;80–630°C in9steps;150–500L/min3steps. Box version includes tool only; do not assume nozzles included. This is a workshop heat gun, not a precision SMD rework station. Use appropriate Israeli plug; protect printed parts from heat.
Timing: Core now; buy only when heat-shrink work starts</x:v>
      </x:c>
      <x:c r="I55" s="27" t="str">
        <x:v>OlderSteinel HG2120E230V if locally stocked at better price</x:v>
      </x:c>
      <x:c r="J55" s="27" t="str">
        <x:v>Current price not verified—obtain quote. Discard₪274 webpage deal: explicitly dated2021, not current.</x:v>
      </x:c>
      <x:c r="K55" s="27" t="str">
        <x:v>Steinel dealer/local tool supplier; TME lists olderHG2120E
Manufacturer model current; retailer stock and Israel delivered price unverified.</x:v>
      </x:c>
      <x:c r="L55" s="32" t="str">
        <x:v>https://www.steinel-tools.de/en/products/hot-air/heat-guns/gun-type-tools/pro-hm-2120-e-089603.html</x:v>
      </x:c>
      <x:c r="M55" s="32" t="str">
        <x:v>https://www.tme.eu/en/details/hg2120e/hot-air-guns-and-accessories/steinel/hg-2120-e/</x:v>
      </x:c>
      <x:c r="N55" s="27" t="str">
        <x:v>2026-09-29</x:v>
      </x:c>
    </x:row>
    <x:row r="56" ht="88" customHeight="1">
      <x:c r="A56" s="27" t="str">
        <x:v>45</x:v>
      </x:c>
      <x:c r="B56" s="27" t="str">
        <x:v>electronics</x:v>
      </x:c>
      <x:c r="C56" s="27" t="str">
        <x:v>Solderless breadboards</x:v>
      </x:c>
      <x:c r="D56" s="27" t="str">
        <x:v>Adafruit239 full-size830 tie-point breadboard</x:v>
      </x:c>
      <x:c r="E56" s="30" t="str">
        <x:v>2 · Electronics</x:v>
      </x:c>
      <x:c r="F56" s="27" t="str">
        <x:v>2 full-size boards</x:v>
      </x:c>
      <x:c r="G56" s="27" t="str">
        <x:v>Reusable logic/sensor prototyping area.</x:v>
      </x:c>
      <x:c r="H56" s="27" t="str">
        <x:v>2.54mm layout; check power-rail continuity before wiring. Use suitable solid jumper wire; motor supply distribution bypasses breadboard.
Timing: Core now; inventory existing stock first</x:v>
      </x:c>
      <x:c r="I56" s="27" t="str">
        <x:v>Adafruit4539 half-size400tie-point board for smaller modules</x:v>
      </x:c>
      <x:c r="J56" s="27" t="str">
        <x:v>USD5.95 each;USD11.90 for2; shipping/import taxes unknown. Alternative price unverified.</x:v>
      </x:c>
      <x:c r="K56" s="27" t="str">
        <x:v>Adafruit or authorized distributor
Full-size in stock.</x:v>
      </x:c>
      <x:c r="L56" s="32" t="str">
        <x:v>https://www.adafruit.com/product/239</x:v>
      </x:c>
      <x:c r="M56" s="32" t="str">
        <x:v>https://www.adafruit.com/product/4539</x:v>
      </x:c>
      <x:c r="N56" s="27" t="str">
        <x:v>2026-09-29</x:v>
      </x:c>
    </x:row>
    <x:row r="57" ht="88" customHeight="1">
      <x:c r="A57" s="27" t="str">
        <x:v>46</x:v>
      </x:c>
      <x:c r="B57" s="27" t="str">
        <x:v>electronics</x:v>
      </x:c>
      <x:c r="C57" s="27" t="str">
        <x:v>Durable prototyping boards</x:v>
      </x:c>
      <x:c r="D57" s="27" t="str">
        <x:v>Adafruit571 Perma-Proto half-size3-pack</x:v>
      </x:c>
      <x:c r="E57" s="28" t="str">
        <x:v>2 · Electronics</x:v>
      </x:c>
      <x:c r="F57" s="27" t="str">
        <x:v>1 pack =3 boards</x:v>
      </x:c>
      <x:c r="G57" s="27" t="str">
        <x:v>Breadboard-like connected layout simplifies transferring working circuits to solder.</x:v>
      </x:c>
      <x:c r="H57" s="27" t="str">
        <x:v>FR4,plated-through1.2mm holes,81×51mm,3.2mm mounting holes. Connected5-hole groups, not isolated-pad perfboard: review circuit layout before soldering.
Timing: Core now</x:v>
      </x:c>
      <x:c r="I57" s="27" t="str">
        <x:v>Adafruit1609 single board when only one is needed</x:v>
      </x:c>
      <x:c r="J57" s="27" t="str">
        <x:v>USD12.50 per3-pack; singleUSD4.50 but currently out of stock. Shipping/import taxes unknown.</x:v>
      </x:c>
      <x:c r="K57" s="27" t="str">
        <x:v>Adafruit
3-pack in stock; single out of stock.</x:v>
      </x:c>
      <x:c r="L57" s="32" t="str">
        <x:v>https://www.adafruit.com/product/571</x:v>
      </x:c>
      <x:c r="M57" s="32" t="str">
        <x:v>https://www.adafruit.com/product/1609</x:v>
      </x:c>
      <x:c r="N57" s="27" t="str">
        <x:v>2026-09-29</x:v>
      </x:c>
    </x:row>
    <x:row r="58" ht="88" customHeight="1">
      <x:c r="A58" s="27" t="str">
        <x:v>47</x:v>
      </x:c>
      <x:c r="B58" s="27" t="str">
        <x:v>wiring</x:v>
      </x:c>
      <x:c r="C58" s="27" t="str">
        <x:v>Bench supply-to-load lead kit</x:v>
      </x:c>
      <x:c r="D58" s="27" t="str">
        <x:v>Pomona 5907A red/black 4 mm shrouded banana lead pair + Pomona 5916B/POM insulated alligator clip pair</x:v>
      </x:c>
      <x:c r="E58" s="28" t="str">
        <x:v>2 · Electronics</x:v>
      </x:c>
      <x:c r="F58" s="27" t="str">
        <x:v>1 lead pair + 1 clip pair</x:v>
      </x:c>
      <x:c r="G58" s="27" t="str">
        <x:v>Complete removable supply connection with a documented rating instead of thin jumper wires.</x:v>
      </x:c>
      <x:c r="H58" s="27" t="str">
        <x:v>Both Pomona parts are rated 10 A maximum. Confirm supply sockets accept these shrouded 4 mm plugs. Clip only to terminals sized for the current; 10 A leads do not make thin device wiring safe. Not the signal harness. Planned lab use &lt;=30 V.
Timing: Core</x:v>
      </x:c>
      <x:c r="I58" s="27" t="str">
        <x:v>Use the supply's included leads only if their documented current rating is at least 5 A and terminations fit the load; otherwise buy the same Pomona basket via Farnell Israel</x:v>
      </x:c>
      <x:c r="J58" s="27" t="str">
        <x:v>Quote needed for complete basket; no verified complete current Israeli price.</x:v>
      </x:c>
      <x:c r="K58" s="27" t="str">
        <x:v>Pomona authorized distributors; Farnell Israel / DigiKey Israel
Catalog/datasheet verified; Israeli stock and complete price not confirmed.</x:v>
      </x:c>
      <x:c r="L58" s="32" t="str">
        <x:v>https://www.pomonaelectronics.com/sites/default/files/d5907A-5908A-5909A_100.pdf</x:v>
      </x:c>
      <x:c r="M58" s="32" t="str">
        <x:v>https://il.farnell.com/pomona/5916b-pom/alligator-clip-4mm-banana-plug/dp/2917830
https://www.pomonaelectronics.com/sites/default/files/d5916B_001.pdf
https://www.newark.com/pomona/5907a/test-lead-set-blk-red-1-219m-1kv/dp/95F1291</x:v>
      </x:c>
      <x:c r="N58" s="27" t="str">
        <x:v>2026-09-29</x:v>
      </x:c>
    </x:row>
    <x:row r="59" ht="88" customHeight="1">
      <x:c r="A59" s="27" t="str">
        <x:v>48</x:v>
      </x:c>
      <x:c r="B59" s="27" t="str">
        <x:v>wiring</x:v>
      </x:c>
      <x:c r="C59" s="27" t="str">
        <x:v>Insulated small-circuit grabber leads</x:v>
      </x:c>
      <x:c r="D59" s="27" t="str">
        <x:v>Pomona Minigrabber-to-banana 24-inch lead pair: red Adafruit #2607 + black #2606</x:v>
      </x:c>
      <x:c r="E59" s="28" t="str">
        <x:v>2 · Electronics</x:v>
      </x:c>
      <x:c r="F59" s="27" t="str">
        <x:v>1 red/black pair if needed; defer separate analyzer clips</x:v>
      </x:c>
      <x:c r="G59" s="27" t="str">
        <x:v>The first bench instrument is a multimeter, so start with leads that terminate in banana plugs.</x:v>
      </x:c>
      <x:c r="H59" s="27" t="str">
        <x:v>Confirm fit to BM235 sockets and restrict this choice to accessible low-voltage signal nodes. Not a 5 A supply lead. Digilent alternative connects to female jumper/MTE leads, not directly to meter sockets.
Timing: Core</x:v>
      </x:c>
      <x:c r="I59" s="27" t="str">
        <x:v>Digilent Mini Grabber Test Clips with Leads 240-137, five-pack, for future compatible logic instruments</x:v>
      </x:c>
      <x:c r="J59" s="27" t="str">
        <x:v>Preferred red/black Pomona pair: quote needed. Optional Digilent five-pack US$11.00 before shipping/tax.</x:v>
      </x:c>
      <x:c r="K59" s="27" t="str">
        <x:v>Adafruit / authorized Pomona distributor; Digilent alternative
Preferred exact products verified; stock and Israel delivered price unconfirmed.</x:v>
      </x:c>
      <x:c r="L59" s="32" t="str">
        <x:v>https://www.adafruit.com/product/2607</x:v>
      </x:c>
      <x:c r="M59" s="32" t="str">
        <x:v>https://digilent.com/shop/mini-grabber-test-clips-with-leads/
https://www.adafruit.com/product/2606</x:v>
      </x:c>
      <x:c r="N59" s="27" t="str">
        <x:v>2026-09-29</x:v>
      </x:c>
    </x:row>
    <x:row r="60" ht="88" customHeight="1">
      <x:c r="A60" s="27" t="str">
        <x:v>49</x:v>
      </x:c>
      <x:c r="B60" s="27" t="str">
        <x:v>wiring</x:v>
      </x:c>
      <x:c r="C60" s="27" t="str">
        <x:v>Known-good USB data cables</x:v>
      </x:c>
      <x:c r="D60" s="27" t="str">
        <x:v>SparkFun CAB-16905 USB2.0 Type-C to Type-C1m</x:v>
      </x:c>
      <x:c r="E60" s="30" t="str">
        <x:v>Optional spare</x:v>
      </x:c>
      <x:c r="F60" s="27" t="str">
        <x:v>0 initially; 1 cable already in B1</x:v>
      </x:c>
      <x:c r="G60" s="27" t="str">
        <x:v>Separate cable faults from firmware/upload faults and retain one known-good spare.</x:v>
      </x:c>
      <x:c r="H60" s="27" t="str">
        <x:v>Manufacturer confirmsUSB2.0 data480Mbit/s; bothendsUSB-C.2.0 speed sufficient for board programming/serial. This cable is forcontrollers; do not substitutePinecilheat-resistant powercable unless data capability is verified. NoUSB hub needed for oneboard. Do not feed a forced9/12/20VPDtrigger into acontrollerUSB port.</x:v>
      </x:c>
      <x:c r="I60" s="27" t="str">
        <x:v>For Micro-B boards: Adafruit #3879 USB-C to Micro-B 0.3 m; select another length or distributor if needed.</x:v>
      </x:c>
      <x:c r="J60" s="27" t="str">
        <x:v>4project CAB-16905 ILS 42.60 each including VAT, shipping extra. Stock quantity not readable. Alternative WS-25003 ILS 13.77 each incl VAT sale (seller data claim; manufacturer specification not independently verified). Checked 2026-09-29.</x:v>
      </x:c>
      <x:c r="K60" s="27" t="str">
        <x:v>StarTech distributors / DigiKey Israel; Adafruit
StarTech catalog verified; Micro-B candidate out of stock at Adafruit; inventory gate first.</x:v>
      </x:c>
      <x:c r="L60" s="32" t="str">
        <x:v>https://www.sparkfun.com/usb-2-0-type-c-cable-1-meter.html</x:v>
      </x:c>
      <x:c r="M60" s="32" t="str">
        <x:v>https://www.4project.co.il/section/usb-cables</x:v>
      </x:c>
      <x:c r="N60" s="27" t="str">
        <x:v>2026-09-29</x:v>
      </x:c>
    </x:row>
    <x:row r="61" ht="88" customHeight="1">
      <x:c r="A61" s="27" t="str">
        <x:v>50</x:v>
      </x:c>
      <x:c r="B61" s="27" t="str">
        <x:v>wiring</x:v>
      </x:c>
      <x:c r="C61" s="27" t="str">
        <x:v>Jumper wires and headers</x:v>
      </x:c>
      <x:c r="D61" s="27" t="str">
        <x:v>Adafruit #1956 20 male/male 75 mm jumpers + #1954 20 female/male 150 mm jumpers; #392 10-pack 36-pin straight breakaway headers only if existing stock/parts kit is insufficient</x:v>
      </x:c>
      <x:c r="E61" s="30" t="str">
        <x:v>2 · Electronics</x:v>
      </x:c>
      <x:c r="F61" s="27" t="str">
        <x:v>1 pack of each jumper type; up to 1 header pack</x:v>
      </x:c>
      <x:c r="G61" s="27" t="str">
        <x:v>Compact breadboard connections and board-to-breadboard signal wiring.</x:v>
      </x:c>
      <x:c r="H61" s="27" t="str">
        <x:v>2.54 mm pitch. #1956 and #1954 use 28 AWG conductors: signal/light circuits only, not motor supply paths. Parts kit in row 58 already contains some headers; subtract duplicates.
Timing: Core—inventory first</x:v>
      </x:c>
      <x:c r="I61" s="27" t="str">
        <x:v>Adafruit #4482 silicone male/male 200 mm x40 if more flexible longer jumpers are useful</x:v>
      </x:c>
      <x:c r="J61" s="27" t="str">
        <x:v>US$1.95 + US$1.95 + optional US$4.95 headers = US$8.85 maximum listed basket; shipping/tax extra.</x:v>
      </x:c>
      <x:c r="K61" s="27" t="str">
        <x:v>Adafruit / authorized distributors
Both jumper packs and #392 shown in stock when checked; distributor stock varies.</x:v>
      </x:c>
      <x:c r="L61" s="32" t="str">
        <x:v>https://www.adafruit.com/product/1956</x:v>
      </x:c>
      <x:c r="M61" s="32" t="str">
        <x:v>https://www.adafruit.com/product/4482
https://www.adafruit.com/product/1954
https://www.adafruit.com/product/392</x:v>
      </x:c>
      <x:c r="N61" s="27" t="str">
        <x:v>2026-09-29</x:v>
      </x:c>
    </x:row>
    <x:row r="62" ht="88" customHeight="1">
      <x:c r="A62" s="27" t="str">
        <x:v>51</x:v>
      </x:c>
      <x:c r="B62" s="27" t="str">
        <x:v>wiring</x:v>
      </x:c>
      <x:c r="C62" s="27" t="str">
        <x:v>22 AWG solid-core breadboard wire</x:v>
      </x:c>
      <x:c r="D62" s="27" t="str">
        <x:v>Adafruit #1311 Hook-up Wire Spool Set, 22 AWG solid core, six colors x25 ft</x:v>
      </x:c>
      <x:c r="E62" s="28" t="str">
        <x:v>2 · Electronics</x:v>
      </x:c>
      <x:c r="F62" s="27" t="str">
        <x:v>1 six-color set; skip if existing wire sufficient</x:v>
      </x:c>
      <x:c r="G62" s="27" t="str">
        <x:v>Stable short breadboard links and easy visual tracing.</x:v>
      </x:c>
      <x:c r="H62" s="27" t="str">
        <x:v>Solid core is intended for static prototypes. Do not use as a repeatedly flexing robot harness. Separate from supply leads.
Timing: Core</x:v>
      </x:c>
      <x:c r="I62" s="27" t="str">
        <x:v>Adafruit #3174 ten-color x25 ft set only if more colors are genuinely needed</x:v>
      </x:c>
      <x:c r="J62" s="27" t="str">
        <x:v>US$15.95 per six-color set; shipping/tax extra.</x:v>
      </x:c>
      <x:c r="K62" s="27" t="str">
        <x:v>Adafruit / authorized distributors
Six-color set shown in stock.</x:v>
      </x:c>
      <x:c r="L62" s="32" t="str">
        <x:v>https://www.adafruit.com/product/1311</x:v>
      </x:c>
      <x:c r="M62" s="32" t="str">
        <x:v>https://www.adafruit.com/product/3174</x:v>
      </x:c>
      <x:c r="N62" s="27" t="str">
        <x:v>2026-09-29</x:v>
      </x:c>
    </x:row>
    <x:row r="63" ht="102" customHeight="1">
      <x:c r="A63" s="27" t="str">
        <x:v>52</x:v>
      </x:c>
      <x:c r="B63" s="27" t="str">
        <x:v>wiring</x:v>
      </x:c>
      <x:c r="C63" s="27" t="str">
        <x:v>22–26 AWG stranded signal/harness wire</x:v>
      </x:c>
      <x:c r="D63" s="27" t="str">
        <x:v>Adafruit #3111 22 AWG stranded six-color x25 ft set; add 2 m lengths of #1970 26 AWG silicone in black/red/blue for small flexible signal wiring</x:v>
      </x:c>
      <x:c r="E63" s="28" t="str">
        <x:v>2 · Electronics</x:v>
      </x:c>
      <x:c r="F63" s="27" t="str">
        <x:v>1 set + 3 x2 m lengths, or inventory-adjusted smaller basket</x:v>
      </x:c>
      <x:c r="G63" s="27" t="str">
        <x:v>Keeps moving cable runs flexible and provides 22 AWG wire suitable for the selected lever connectors.</x:v>
      </x:c>
      <x:c r="H63" s="27" t="str">
        <x:v>26 AWG is signal/light-load stock and too small for the selected WAGO 221 minimum 0.14 mm² fine-stranded requirement. 22 AWG does not automatically qualify for every 5 A harness: size motor wiring by current, length and voltage drop. #3111 is PVC; #1970 is silicone.
Timing: Core</x:v>
      </x:c>
      <x:c r="I63" s="27" t="str">
        <x:v>Begin with only the four 2 m silicone colors actually needed; defer the bulk spool set if stock exists</x:v>
      </x:c>
      <x:c r="J63" s="27" t="str">
        <x:v>US$19.95 set + 3 xUS$0.95 = US$22.80 listed basket; shipping/tax extra.</x:v>
      </x:c>
      <x:c r="K63" s="27" t="str">
        <x:v>Adafruit / authorized distributors
#3111 in stock; #1970 color-specific availability must be selected.</x:v>
      </x:c>
      <x:c r="L63" s="32" t="str">
        <x:v>https://www.adafruit.com/product/3111</x:v>
      </x:c>
      <x:c r="M63" s="32" t="str">
        <x:v>https://www.adafruit.com/product/1970</x:v>
      </x:c>
      <x:c r="N63" s="27" t="str">
        <x:v>2026-09-29</x:v>
      </x:c>
    </x:row>
    <x:row r="64" ht="102" customHeight="1">
      <x:c r="A64" s="27" t="str">
        <x:v>53</x:v>
      </x:c>
      <x:c r="B64" s="27" t="str">
        <x:v>wiring</x:v>
      </x:c>
      <x:c r="C64" s="27" t="str">
        <x:v>Premade polarized/friction-lock connector leads</x:v>
      </x:c>
      <x:c r="D64" s="27" t="str">
        <x:v>Pololu #1164 2-pin JST XH-style 2.50 mm cable, 15 cm, matched to #2717 2-pin straight XH-style headers (four-pack)</x:v>
      </x:c>
      <x:c r="E64" s="28" t="str">
        <x:v>2 · Electronics</x:v>
      </x:c>
      <x:c r="F64" s="27" t="str">
        <x:v>4 cables + 1 four-pack headers; add other pin counts only for a defined device</x:v>
      </x:c>
      <x:c r="G64" s="27" t="str">
        <x:v>A small matched set avoids buying a crimper and hundreds of incompatible terminals.</x:v>
      </x:c>
      <x:c r="H64" s="27" t="str">
        <x:v>XH-style is a friction retention connection, not a universal positive-latch robot connector. These 26 AWG leads are for low-current connections, not the 5 A power rail. Check pin order/polarity at both ends. Generic compatible style, not represented as genuine JST.
Timing: Core—after connector inventory</x:v>
      </x:c>
      <x:c r="I64" s="27" t="str">
        <x:v>Pololu #5612 3-pin JST PH-style 2.00 mm cable only if an inventoried device needs that exact family; it does not mate with XH</x:v>
      </x:c>
      <x:c r="J64" s="27" t="str">
        <x:v>4 xUS$1.95 + US$1.75 = US$9.55 listed basket; shipping/tax extra.</x:v>
      </x:c>
      <x:c r="K64" s="27" t="str">
        <x:v>Pololu / authorized distributors
Both preferred products allow backorders; immediate stock not confirmed. Old header #1167 is discontinued: use #2717.</x:v>
      </x:c>
      <x:c r="L64" s="32" t="str">
        <x:v>https://www.pololu.com/product/1164</x:v>
      </x:c>
      <x:c r="M64" s="32" t="str">
        <x:v>https://www.pololu.com/product/5612
https://www.pololu.com/product/2717
https://www.jst.com/products/crimp-style-connectors-wire-to-board-type/xh-connector/</x:v>
      </x:c>
      <x:c r="N64" s="27" t="str">
        <x:v>2026-09-29</x:v>
      </x:c>
    </x:row>
    <x:row r="65" ht="88" customHeight="1">
      <x:c r="A65" s="27" t="str">
        <x:v>54</x:v>
      </x:c>
      <x:c r="B65" s="27" t="str">
        <x:v>wiring</x:v>
      </x:c>
      <x:c r="C65" s="27" t="str">
        <x:v>Reusable terminal connections</x:v>
      </x:c>
      <x:c r="D65" s="27" t="str">
        <x:v>Genuine WAGO 221-412 two-conductor lever connectors</x:v>
      </x:c>
      <x:c r="E65" s="28" t="str">
        <x:v>2 · Electronics</x:v>
      </x:c>
      <x:c r="F65" s="27" t="str">
        <x:v>10 two-conductor connectors; up to 4 three-conductor connectors</x:v>
      </x:c>
      <x:c r="G65" s="27" t="str">
        <x:v>Quick, inspectable low-voltage supply splices without twisted bare wire.</x:v>
      </x:c>
      <x:c r="H65" s="27" t="str">
        <x:v>Each connector joins its conductors to the same potential: use separate connectors for + and ground. WAGO specifies fine-stranded 0.14–4 mm²; solid/stranded 0.2–4 mm². Use selected 22 AWG wire, not 26 AWG. These are not 2.54 mm PCB terminal blocks.
Timing: Core</x:v>
      </x:c>
      <x:c r="I65" s="27" t="str">
        <x:v>WAGO 221-413 three-conductor connector when one potential needs a branch</x:v>
      </x:c>
      <x:c r="J65" s="27" t="str">
        <x:v>Quote needed from Israeli supplier for requested small quantity.</x:v>
      </x:c>
      <x:c r="K65" s="27" t="str">
        <x:v>Electrical supplier / Farnell Israel / WAGO distributor
Israel-facing Farnell listing found; stock and price not confirmed.</x:v>
      </x:c>
      <x:c r="L65" s="32" t="str">
        <x:v>https://www.wago.com/gb/installation-terminal-blocks-and-connectors/splicing-connector-with-levers/p/221-412</x:v>
      </x:c>
      <x:c r="M65" s="32" t="str">
        <x:v>https://www.wago.com/gb/products/electrical-interconnections/splicing-connectors-221
https://il.farnell.com/wago/221-412/terminal-block-pluggable-2pos/dp/2534732</x:v>
      </x:c>
      <x:c r="N65" s="27" t="str">
        <x:v>2026-09-29</x:v>
      </x:c>
    </x:row>
    <x:row r="66" ht="88" customHeight="1">
      <x:c r="A66" s="27" t="str">
        <x:v>55</x:v>
      </x:c>
      <x:c r="B66" s="27" t="str">
        <x:v>wiring</x:v>
      </x:c>
      <x:c r="C66" s="27" t="str">
        <x:v>Heat-shrink tubing assortment</x:v>
      </x:c>
      <x:c r="D66" s="27" t="str">
        <x:v>Adafruit #344 Heat Shrink Pack, six diameters, four 6-inch pieces per size, 2:1 polyolefin</x:v>
      </x:c>
      <x:c r="E66" s="28" t="str">
        <x:v>2 · Electronics</x:v>
      </x:c>
      <x:c r="F66" s="27" t="str">
        <x:v>1 small pack</x:v>
      </x:c>
      <x:c r="G66" s="27" t="str">
        <x:v>Insulate soldered splices and identify/finish cable ends.</x:v>
      </x:c>
      <x:c r="H66" s="27" t="str">
        <x:v>Choose diameter to slide over the unsoldered joint and shrink firmly; ordinary tubing is not automatically watertight. Use the lab's appropriate controlled heat source.
Timing: Core</x:v>
      </x:c>
      <x:c r="I66" s="27" t="str">
        <x:v>Adafruit #1649 multi-colored 3/32, 1/8 and 3/16 inch pack</x:v>
      </x:c>
      <x:c r="J66" s="27" t="str">
        <x:v>US$4.95 preferred pack; shipping/tax extra.</x:v>
      </x:c>
      <x:c r="K66" s="27" t="str">
        <x:v>Adafruit / authorized distributors
Preferred pack shown in stock.</x:v>
      </x:c>
      <x:c r="L66" s="32" t="str">
        <x:v>https://www.adafruit.com/product/344</x:v>
      </x:c>
      <x:c r="M66" s="32" t="str">
        <x:v>https://www.adafruit.com/product/1649</x:v>
      </x:c>
      <x:c r="N66" s="27" t="str">
        <x:v>2026-09-29</x:v>
      </x:c>
    </x:row>
    <x:row r="67" ht="88" customHeight="1">
      <x:c r="A67" s="27" t="str">
        <x:v>56</x:v>
      </x:c>
      <x:c r="B67" s="27" t="str">
        <x:v>wiring</x:v>
      </x:c>
      <x:c r="C67" s="27" t="str">
        <x:v>Cable ties, labels and edge protection</x:v>
      </x:c>
      <x:c r="D67" s="27" t="str">
        <x:v>HellermannTyton T18R 100 x2.45 mm cable ties (100-pack, e.g. 116-01814); small labels written with permanent marker; 4–6 HellermannTyton HV1218 grommets only for matching 10 mm holes /6 mm aperture</x:v>
      </x:c>
      <x:c r="E67" s="28" t="str">
        <x:v>2 · Electronics</x:v>
      </x:c>
      <x:c r="F67" s="27" t="str">
        <x:v>100 ties; 1 small label sheet/roll; 4–6 grommets after dimensions known</x:v>
      </x:c>
      <x:c r="G67" s="27" t="str">
        <x:v>Stop wires pulling on solder joints and make disassembly traceable.</x:v>
      </x:c>
      <x:c r="H67" s="27" t="str">
        <x:v>Grommet hole size and panel thickness must match the enclosure drawing; plain grommets protect edges but need separate strain relief. Do not tighten ties hard enough to cut soft silicone wire. Avoid 1000-piece grommet bags.
Timing: Core; grommet size project-dependent</x:v>
      </x:c>
      <x:c r="I67" s="27" t="str">
        <x:v>Adafruit #762 PG-7 cable glands for 3.0–4.3 mm cable diameter when cable strain relief at an enclosure is needed</x:v>
      </x:c>
      <x:c r="J67" s="27" t="str">
        <x:v>Quote needed for small basket; no verified total.</x:v>
      </x:c>
      <x:c r="K67" s="27" t="str">
        <x:v>HellermannTyton distributors / TME Israel; Adafruit alternative
Catalogs verified; small-quantity Israeli availability not confirmed.</x:v>
      </x:c>
      <x:c r="L67" s="32" t="str">
        <x:v>https://www.hellermanntyton.co.uk/products/cable-ties-inside-serrated/t18r/116-01814</x:v>
      </x:c>
      <x:c r="M67" s="32" t="str">
        <x:v>https://www.adafruit.com/product/762
https://www.tme.com/il/en/details/hv1218/grommets/hellermanntyton/633-02180/</x:v>
      </x:c>
      <x:c r="N67" s="27" t="str">
        <x:v>2026-09-29</x:v>
      </x:c>
    </x:row>
    <x:row r="68" ht="88" customHeight="1">
      <x:c r="A68" s="27" t="str">
        <x:v>57</x:v>
      </x:c>
      <x:c r="B68" s="27" t="str">
        <x:v>wiring</x:v>
      </x:c>
      <x:c r="C68" s="27" t="str">
        <x:v>Resistors and capacitors</x:v>
      </x:c>
      <x:c r="D68" s="27" t="str">
        <x:v>SparkFun COM-10969 Resistor Kit, 500 through-hole 1/4 W pieces across 20 values; use capacitors already included in row 58 first</x:v>
      </x:c>
      <x:c r="E68" s="30" t="str">
        <x:v>2 · Electronics</x:v>
      </x:c>
      <x:c r="F68" s="27" t="str">
        <x:v>1 resistor kit; zero extra capacitor kit initially if row 58 purchased</x:v>
      </x:c>
      <x:c r="G68" s="27" t="str">
        <x:v>Known-value small-parts inventory for LEDs, pull-ups, sensing and decoupling.</x:v>
      </x:c>
      <x:c r="H68" s="27" t="str">
        <x:v>Do not use 1/4 W parts as motor dummy loads. Check each capacitor's voltage rating and polarity against the circuit; the 30 V supply is not a universal safe setting. Inventory existing Arduino kit first.
Timing: Core—inventory first</x:v>
      </x:c>
      <x:c r="I68" s="27" t="str">
        <x:v>SparkFun KIT-13698 Capacitor Kit as a later refill; no need to buy it with row 58 on day one</x:v>
      </x:c>
      <x:c r="J68" s="27" t="str">
        <x:v>US$9.95 resistor kit; optional capacitor refill US$11.50; shipping/tax extra.</x:v>
      </x:c>
      <x:c r="K68" s="27" t="str">
        <x:v>SparkFun / authorized distributors
Both direct-store pages show Backorder; check distributors or buy matching loose values locally.</x:v>
      </x:c>
      <x:c r="L68" s="32" t="str">
        <x:v>https://www.sparkfun.com/resistor-kit-1-4w-500-total.html</x:v>
      </x:c>
      <x:c r="M68" s="32" t="str">
        <x:v>https://www.sparkfun.com/sparkfun-capacitor-kit.html</x:v>
      </x:c>
      <x:c r="N68" s="27" t="str">
        <x:v>2026-09-29</x:v>
      </x:c>
    </x:row>
    <x:row r="69" ht="88" customHeight="1">
      <x:c r="A69" s="27" t="str">
        <x:v>58</x:v>
      </x:c>
      <x:c r="B69" s="27" t="str">
        <x:v>wiring</x:v>
      </x:c>
      <x:c r="C69" s="27" t="str">
        <x:v>LEDs, buttons, switches, potentiometers, diodes and transistors</x:v>
      </x:c>
      <x:c r="D69" s="27" t="str">
        <x:v>SparkFun Beginner Parts Kit KIT-27842; optional 2 xAdafruit #3395 10 kΩ linear panel potentiometers with switch for reusable controls</x:v>
      </x:c>
      <x:c r="E69" s="30" t="str">
        <x:v>2 · Electronics</x:v>
      </x:c>
      <x:c r="F69" s="27" t="str">
        <x:v>1 kit only if existing stock sparse; 0–2 panel pots</x:v>
      </x:c>
      <x:c r="G69" s="27" t="str">
        <x:v>A curated through-hole basket provides common discrete parts without another microcontroller board.</x:v>
      </x:c>
      <x:c r="H69" s="27" t="str">
        <x:v>Includes signal transistors, diodes, switches, trimpot, headers and capacitors, so avoid duplicate orders. Small BJTs are not automatically appropriate motor drivers. #3395 switch is 12 V/1 A rated, not a 30 V/5 A cutoff. Previous KIT-13973 is retired.
Timing: Core—inventory first</x:v>
      </x:c>
      <x:c r="I69" s="27" t="str">
        <x:v>Buy only missing parts individually from an Israeli component distributor using the KIT-27842 contents as a small BOM; #3395 gives a concrete panel-control option</x:v>
      </x:c>
      <x:c r="J69" s="27" t="str">
        <x:v>US$19.95 kit + optional 2 xUS$1.50 pots = US$22.95; shipping/tax extra.</x:v>
      </x:c>
      <x:c r="K69" s="27" t="str">
        <x:v>SparkFun / authorized distributors; Adafruit
SparkFun page has conflicting In stock and Backorder states: confirm before order. Pots shown in stock.</x:v>
      </x:c>
      <x:c r="L69" s="32" t="str">
        <x:v>https://www.sparkfun.com/sparkfun-beginner-parts-kit-1.html</x:v>
      </x:c>
      <x:c r="M69" s="32" t="str">
        <x:v>https://www.adafruit.com/product/3395</x:v>
      </x:c>
      <x:c r="N69" s="27" t="str">
        <x:v>2026-09-29</x:v>
      </x:c>
    </x:row>
    <x:row r="70" ht="88" customHeight="1">
      <x:c r="A70" s="27" t="str">
        <x:v>59</x:v>
      </x:c>
      <x:c r="B70" s="27" t="str">
        <x:v>wiring</x:v>
      </x:c>
      <x:c r="C70" s="27" t="str">
        <x:v>Electronics solder and flux</x:v>
      </x:c>
      <x:c r="D70" s="27" t="str">
        <x:v>Chip Quik SMDSWLF .020 2OZ lead-free SAC305 flux-core solder, 0.5 mm /56.7 g; Chip Quik SMD291NL 5 cc no-clean tack flux syringe</x:v>
      </x:c>
      <x:c r="E70" s="28" t="str">
        <x:v>2 · Electronics</x:v>
      </x:c>
      <x:c r="F70" s="27" t="str">
        <x:v>1 small solder spool + 1 flux container</x:v>
      </x:c>
      <x:c r="G70" s="27" t="str">
        <x:v>Traceable electronics-grade consumables in quantities a home lab can use.</x:v>
      </x:c>
      <x:c r="H70" s="27" t="str">
        <x:v>Use electronics flux, never acid/plumbing flux. Check flux shelf life and storage requirements before ordering. Lead-free solder still needs solder-fume control. SMD removal alloy is not assembly solder.
Timing: Core</x:v>
      </x:c>
      <x:c r="I70" s="27" t="str">
        <x:v>Chip Quik CQ4LF 10 ml no-clean liquid flux pen instead of tack flux for connector/through-hole work; do not buy both initially</x:v>
      </x:c>
      <x:c r="J70" s="27" t="str">
        <x:v>Quote needed for complete preferred basket; do not substitute the much larger 1 lb spool simply for value.</x:v>
      </x:c>
      <x:c r="K70" s="27" t="str">
        <x:v>Farnell Israel / DigiKey Israel / authorized Chip Quik distributors
Israeli solder and flux listings found; live stock/total not confirmed.</x:v>
      </x:c>
      <x:c r="L70" s="32" t="str">
        <x:v>https://il.farnell.com/chip-quik/smdswlf-020-2oz/small-spool-solder-wire-lead-free/dp/2804756</x:v>
      </x:c>
      <x:c r="M70" s="32" t="str">
        <x:v>https://www.adafruit.com/product/3468
https://www.chipquik.com/datasheets/SMD291NL.pdf
https://www.digikey.co.il/en/products/detail/chip-quik-inc/SMD291NL/1160000</x:v>
      </x:c>
      <x:c r="N70" s="27" t="str">
        <x:v>2026-09-29</x:v>
      </x:c>
    </x:row>
    <x:row r="71" ht="88" customHeight="1">
      <x:c r="A71" s="27" t="str">
        <x:v>60</x:v>
      </x:c>
      <x:c r="B71" s="27" t="str">
        <x:v>wiring</x:v>
      </x:c>
      <x:c r="C71" s="27" t="str">
        <x:v>Desoldering wick and pump</x:v>
      </x:c>
      <x:c r="D71" s="27" t="str">
        <x:v>Adafruit #149 Atten solder wick, 1.5 mm x1.5 m, plus Adafruit #148 manual solder sucker</x:v>
      </x:c>
      <x:c r="E71" s="28" t="str">
        <x:v>2 · Electronics</x:v>
      </x:c>
      <x:c r="F71" s="27" t="str">
        <x:v>1 wick spool + 1 pump</x:v>
      </x:c>
      <x:c r="G71" s="27" t="str">
        <x:v>Recover through-hole components and repair solder bridges without a rework station.</x:v>
      </x:c>
      <x:c r="H71" s="27" t="str">
        <x:v>Use wick width appropriate to the joint; pump and wick are complementary. No vacuum desoldering station needed initially.
Timing: Core</x:v>
      </x:c>
      <x:c r="I71" s="27" t="str">
        <x:v>Engineer SS-02 silicone-tip solder sucker (Adafruit #1597) if frequent rework justifies the upgrade; retain the wick</x:v>
      </x:c>
      <x:c r="J71" s="27" t="str">
        <x:v>US$3.50 wick + US$5.00 pump = US$8.50 preferred basket; shipping/tax extra.</x:v>
      </x:c>
      <x:c r="K71" s="27" t="str">
        <x:v>Adafruit / authorized distributors
Preferred wick and basic pump shown in stock.</x:v>
      </x:c>
      <x:c r="L71" s="32" t="str">
        <x:v>https://www.adafruit.com/product/149</x:v>
      </x:c>
      <x:c r="M71" s="32" t="str">
        <x:v>https://www.adafruit.com/product/1597
https://www.adafruit.com/product/148</x:v>
      </x:c>
      <x:c r="N71" s="27" t="str">
        <x:v>2026-09-29</x:v>
      </x:c>
    </x:row>
    <x:row r="72" ht="88" customHeight="1">
      <x:c r="A72" s="27" t="str">
        <x:v>61</x:v>
      </x:c>
      <x:c r="B72" s="27" t="str">
        <x:v>wiring</x:v>
      </x:c>
      <x:c r="C72" s="27" t="str">
        <x:v>Adhesives and mounting tape</x:v>
      </x:c>
      <x:c r="D72" s="27" t="str">
        <x:v>Loctite Super Glue Gel Control small tube/bottle + Loctite Epoxy Instant Mix 5min small syringe + short tesa 4965 double-sided mounting tape roll</x:v>
      </x:c>
      <x:c r="E72" s="28" t="str">
        <x:v>1 · Build basics</x:v>
      </x:c>
      <x:c r="F72" s="27" t="str">
        <x:v>1 small CA pack, 1 small epoxy syringe, 1 short tape roll</x:v>
      </x:c>
      <x:c r="G72" s="27" t="str">
        <x:v>A small compatible adhesive pantry, with screws still preferred for serviceable assemblies.</x:v>
      </x:c>
      <x:c r="H72" s="27" t="str">
        <x:v>No universal plastic glue: test on the actual printed material/surface. These products are not assumed food-contact, dishwasher-safe, or sufficient for structural robot loads. Five-minute epoxy describes working/set behavior, not full final cure.
Timing: Core—small packs</x:v>
      </x:c>
      <x:c r="I72" s="27" t="str">
        <x:v>Loctite Super Glue Ultra Gel Control for projects needing a tougher CA joint; 3M VHB 4910 for suitable smooth surfaces when thicker foam tape is useful</x:v>
      </x:c>
      <x:c r="J72" s="27" t="str">
        <x:v>Quote needed from local hardware supplier; avoid importing liquids for a small basket without comparing shipping.</x:v>
      </x:c>
      <x:c r="K72" s="27" t="str">
        <x:v>Israeli hardware/adhesive suppliers; Elram lists tesa 4965
Product and Israeli tape listing verified; local retail stock/prices not confirmed.</x:v>
      </x:c>
      <x:c r="L72" s="32" t="str">
        <x:v>https://www.loctiteproducts.com/products/central-pdp.html/loctite-super-glue-gel-control/SAP_0201DGL029X7.html</x:v>
      </x:c>
      <x:c r="M72" s="32" t="str">
        <x:v>https://www.loctiteproducts.com/products/central-pdp.html/loctite-super-glue-ultra-gel-control/SAP_0201DGL029X9.html
https://www.loctiteproducts.com/products/central-pdp.html/loctite-epoxy-instant-mix-5min/SAP_0201OAL029U6.html
https://www.tesa.com/en/industry/tesa-4965.html
https://www.dvakim.com/products/tesa-transparent-double-sided-tape-plastic-4965
https://www.3m.com/3M/en_US/p/d/b40072022/</x:v>
      </x:c>
      <x:c r="N72" s="27" t="str">
        <x:v>2026-09-29</x:v>
      </x:c>
    </x:row>
    <x:row r="73" ht="88" customHeight="1">
      <x:c r="A73" s="27" t="str">
        <x:v>62</x:v>
      </x:c>
      <x:c r="B73" s="27" t="str">
        <x:v>wiring</x:v>
      </x:c>
      <x:c r="C73" s="27" t="str">
        <x:v>Cleaning consumables</x:v>
      </x:c>
      <x:c r="D73" s="27" t="str">
        <x:v>MG Chemicals 824-100ML 99.9% isopropyl alcohol, lint-free wipes/swabs and a small soft electronics-cleaning brush</x:v>
      </x:c>
      <x:c r="E73" s="28" t="str">
        <x:v>1 · Build basics</x:v>
      </x:c>
      <x:c r="F73" s="27" t="str">
        <x:v>100 ml IPA initially + 1 small wipe/swab pack + 1 brush</x:v>
      </x:c>
      <x:c r="G73" s="27" t="str">
        <x:v>Remove suitable flux residues and handling contamination without buying large chemical volumes.</x:v>
      </x:c>
      <x:c r="H73" s="27" t="str">
        <x:v>Check compatibility with plastics, coatings, camera optics and printer plates first; IPA does not remove every flux chemistry. Keep container closed and away from ignition/heat. Do not spray into powered devices.
Timing: Core</x:v>
      </x:c>
      <x:c r="I73" s="27" t="str">
        <x:v>Locally supplied electronics-grade 99%+ IPA with documented purity; use ordinary dish soap/water separately for printer plate cleaning only if the plate manufacturer permits it</x:v>
      </x:c>
      <x:c r="J73" s="27" t="str">
        <x:v>Quote needed locally; no verified Israeli landed price.</x:v>
      </x:c>
      <x:c r="K73" s="27" t="str">
        <x:v>MG Chemicals distributors / DigiKey; local electronics supplier for equivalent IPA
Product format verified; shipping/chemical restrictions and local stock must be checked.</x:v>
      </x:c>
      <x:c r="L73" s="32" t="str">
        <x:v>https://mgchemicals.com/products/electronics-maintenance/isopropyl-alcohol/99-9-isopropyl-alcohol/</x:v>
      </x:c>
      <x:c r="M73" s="32" t="str">
        <x:v>https://www.digikey.com/en/products/detail/mg-chemicals/824-100ML/14563350
https://mgchemicals.com/downloads/tds/tds-824.pdf</x:v>
      </x:c>
      <x:c r="N73" s="27" t="str">
        <x:v>2026-09-29</x:v>
      </x:c>
    </x:row>
    <x:row r="74" ht="88" customHeight="1">
      <x:c r="A74" s="27" t="str">
        <x:v>63</x:v>
      </x:c>
      <x:c r="B74" s="27" t="str">
        <x:v>hardware</x:v>
      </x:c>
      <x:c r="C74" s="27" t="str">
        <x:v>Adjustable task light</x:v>
      </x:c>
      <x:c r="D74" s="27" t="str">
        <x:v>IKEA TERTIAL white 703.554.55 + compatible frosted E27 LED bulb</x:v>
      </x:c>
      <x:c r="E74" s="30" t="str">
        <x:v>Check home first</x:v>
      </x:c>
      <x:c r="F74" s="27" t="str">
        <x:v>1 lamp + 1 bulb; pictured SOLHETTA 806 lm / 4000 K sold in 2-pack</x:v>
      </x:c>
      <x:c r="G74" s="27" t="str">
        <x:v>Adjustable articulated light with inexpensive replaceable bulb; adequate starter bench illumination.</x:v>
      </x:c>
      <x:c r="H74" s="27" t="str">
        <x:v>Clamp accepts bench edge up to 60 mm; lamp maximum 13 W. Bulb sold separately. 4000 K/806 lm suggested listing is compatible but verify bulb power. Vision experiments still need repeatable positioning/exposure; this is not a calibrated imaging light.
Timing: Core</x:v>
      </x:c>
      <x:c r="I74" s="27" t="str">
        <x:v>IKEA TERTIAL dark grey 503.553.95; same lamp family</x:v>
      </x:c>
      <x:c r="J74" s="27" t="str">
        <x:v>Observed IKEA Israel lamp ₪79; suggested SOLHETTA 806 lm/4000 K E27 two-pack ₪22. Combined shown products ₪101, before any delivery; store availability unconfirmed.</x:v>
      </x:c>
      <x:c r="K74" s="27" t="str">
        <x:v>IKEA Israel
Local product active; store-specific availability requires selection/check.</x:v>
      </x:c>
      <x:c r="L74" s="32" t="str">
        <x:v>https://www.ikea.com/il/he/p/tertial-work-lamp-white-70355455/</x:v>
      </x:c>
      <x:c r="M74" s="32" t="str">
        <x:v>https://www.ikea.com/il/he/p/tertial-work-lamp-dark-grey-50355395/</x:v>
      </x:c>
      <x:c r="N74" s="27" t="str">
        <x:v>2026-09-29</x:v>
      </x:c>
    </x:row>
    <x:row r="75" ht="88" customHeight="1">
      <x:c r="A75" s="27" t="str">
        <x:v>64</x:v>
      </x:c>
      <x:c r="B75" s="27" t="str">
        <x:v>hardware</x:v>
      </x:c>
      <x:c r="C75" s="27" t="str">
        <x:v>Small component drawers</x:v>
      </x:c>
      <x:c r="D75" s="27" t="str">
        <x:v>Stanley 1-93-980, 30 small drawers</x:v>
      </x:c>
      <x:c r="E75" s="28" t="str">
        <x:v>1 · Build basics</x:v>
      </x:c>
      <x:c r="F75" s="27" t="str">
        <x:v>1 drawer cabinet initially; retain electronics in their appropriate protective packaging</x:v>
      </x:c>
      <x:c r="G75" s="27" t="str">
        <x:v>Enough labeled positions for starter fasteners and basic components; expand after actual inventory, not before.</x:v>
      </x:c>
      <x:c r="H75" s="27" t="str">
        <x:v>Ordinary plastic drawers are not assumed ESD-safe. Use labels and retained antistatic packaging for sensitive boards. Project boxes are row65 and serve a different purpose.
Timing: Core</x:v>
      </x:c>
      <x:c r="I75" s="27" t="str">
        <x:v>Same Stanley model from Shazar; compare local delivery and stock</x:v>
      </x:c>
      <x:c r="J75" s="27" t="str">
        <x:v>Bait-Plus observed ₪130 plus listed ₪39 delivery (₪169 if that delivery charge applies); no tax-inclusion claim beyond retailer display.</x:v>
      </x:c>
      <x:c r="K75" s="27" t="str">
        <x:v>Bait-Plus Israel; Shazar alternative
Bait-Plus page marked in stock and up to 14 business days; reconfirm actual dispatch before order.</x:v>
      </x:c>
      <x:c r="L75" s="32" t="str">
        <x:v>https://www.bait-plus.co.il/product/מגירון-30-מגירות-stanley-1</x:v>
      </x:c>
      <x:c r="M75" s="32" t="str">
        <x:v>https://www.shazartech.co.il/product/ארגונית-30-מגירות-תאים-סטנלי-stanley-1-93-980/</x:v>
      </x:c>
      <x:c r="N75" s="27" t="str">
        <x:v>2026-09-29</x:v>
      </x:c>
    </x:row>
    <x:row r="76" ht="88" customHeight="1">
      <x:c r="A76" s="27" t="str">
        <x:v>65</x:v>
      </x:c>
      <x:c r="B76" s="27" t="str">
        <x:v>hardware</x:v>
      </x:c>
      <x:c r="C76" s="27" t="str">
        <x:v>Three project trays/boxes</x:v>
      </x:c>
      <x:c r="D76" s="27" t="str">
        <x:v>IKEA SAMLA 11 L, 39×28×14 cm, box 401.029.78; optional matching lids</x:v>
      </x:c>
      <x:c r="E76" s="30" t="str">
        <x:v>Check home first</x:v>
      </x:c>
      <x:c r="F76" s="27" t="str">
        <x:v>3 boxes; three lids only if needed for dust/stacking; do not buy both box-only and box-with-lid alternatives</x:v>
      </x:c>
      <x:c r="G76" s="27" t="str">
        <x:v>Keeps three unfinished builds resumable and separates project parts from common inventory.</x:v>
      </x:c>
      <x:c r="H76" s="27" t="str">
        <x:v>11 L box is a deeper project container rather than a flat tray. Choose size for actual assemblies; retain sensitive boards in appropriate packaging. Not sealed filament dry storage and not a battery charging enclosure.
Timing: Core</x:v>
      </x:c>
      <x:c r="I76" s="27" t="str">
        <x:v>IKEA SAMLA box-with-lid 11 L combination s69440836; shallow household trays already owned can replace these</x:v>
      </x:c>
      <x:c r="J76" s="27" t="str">
        <x:v>Quote/store checkout needed; reliable exact total not exposed in retrieved product page. Ignore search size-change price differences as item prices.</x:v>
      </x:c>
      <x:c r="K76" s="27" t="str">
        <x:v>IKEA Israel
Exact local products listed; store-specific stock unverified.</x:v>
      </x:c>
      <x:c r="L76" s="32" t="str">
        <x:v>https://www.ikea.com/il/he/p/samla-box-transparent-40102978/</x:v>
      </x:c>
      <x:c r="M76" s="32" t="str">
        <x:v>https://www.ikea.com/il/he/p/samla-box-with-lid-transparent-s69440836/</x:v>
      </x:c>
      <x:c r="N76" s="27" t="str">
        <x:v>2026-09-29</x:v>
      </x:c>
    </x:row>
    <x:row r="77" ht="88" customHeight="1">
      <x:c r="A77" s="27" t="str">
        <x:v>66</x:v>
      </x:c>
      <x:c r="B77" s="27" t="str">
        <x:v>hardware</x:v>
      </x:c>
      <x:c r="C77" s="27" t="str">
        <x:v>Fixture and visual-test supplies</x:v>
      </x:c>
      <x:c r="D77" s="27" t="str">
        <x:v>3M ScotchBlue 2090 painter's tape, approximately 24 mm wide; matte black/white A3 card and rigid backing board from local stationery/hardware store</x:v>
      </x:c>
      <x:c r="E77" s="30" t="str">
        <x:v>Check home first</x:v>
      </x:c>
      <x:c r="F77" s="27" t="str">
        <x:v>1 tape roll; 2 sheets each matte white/black card; 1 rigid A3 backing board and 1 small scrap-plywood fixture base</x:v>
      </x:c>
      <x:c r="G77" s="27" t="str">
        <x:v>Floor marks, camera targets/backgrounds, labeled test positions and inexpensive reusable fixture bases.</x:v>
      </x:c>
      <x:c r="H77" s="27" t="str">
        <x:v>Tape is for marking/light positioning, not restraining a powered mechanism. Foam/card backing is for camera targets, not loaded fixtures. Clamp or bolt loaded fixtures to rigid material. Reuse existing clamps rather than buying another set.
Timing: Core small supplies; vision items can wait until used</x:v>
      </x:c>
      <x:c r="I77" s="27" t="str">
        <x:v>Equivalent removable painter's tape and existing matte cardboard; print brackets using already-planned printer stock</x:v>
      </x:c>
      <x:c r="J77" s="27" t="str">
        <x:v>Local quote needed; manufacturer tape family verified but Israeli small-basket price not observed.</x:v>
      </x:c>
      <x:c r="K77" s="27" t="str">
        <x:v>Local stationery/hardware store; 3M tape distributor
Tape product family confirmed; local width/stock and commodity boards unverified.</x:v>
      </x:c>
      <x:c r="L77" s="32" t="str">
        <x:v>https://www.3m.com/3M/en_US/p/d/b00035531/</x:v>
      </x:c>
      <x:c r="M77" s="32" t="str"/>
      <x:c r="N77" s="27" t="str">
        <x:v>2026-09-29</x:v>
      </x:c>
    </x:row>
    <x:row r="78" ht="88" customHeight="1">
      <x:c r="A78" s="27" t="str">
        <x:v>P1</x:v>
      </x:c>
      <x:c r="B78" s="27" t="str">
        <x:v>robotics</x:v>
      </x:c>
      <x:c r="C78" s="27" t="str">
        <x:v>New board, sensor and motor purchases</x:v>
      </x:c>
      <x:c r="D78" s="27" t="str">
        <x:v>User confirmed none owned. Selected Arduino Plug and Make Kit B1 plus FEETECH FS90 M1; see Electronics starter.</x:v>
      </x:c>
      <x:c r="E78" s="28" t="str">
        <x:v>Buy first</x:v>
      </x:c>
      <x:c r="F78" s="27" t="str">
        <x:v>1 kit + 2 small servos</x:v>
      </x:c>
      <x:c r="G78" s="27" t="str">
        <x:v>Replaces previous assumption of existing electronics.</x:v>
      </x:c>
      <x:c r="H78" s="27" t="str">
        <x:v>Kit includes first UNO board and sensor set. External 5 V servo rail with shared ground; see M2.</x:v>
      </x:c>
      <x:c r="I78" s="27" t="str">
        <x:v>Individual controller/sensor basket is alternative only.</x:v>
      </x:c>
      <x:c r="J78" s="27" t="str">
        <x:v>USD87.40 kit + ILS32.80 servo pair; shipping/import extras; not in core allowance.</x:v>
      </x:c>
      <x:c r="K78" s="27" t="str">
        <x:v>Mouser Israel / 4project</x:v>
      </x:c>
      <x:c r="L78" s="32" t="str">
        <x:v>https://www.mouser.co.il/en/ProductDetail/Arduino/AKX00069?qs=i8QVZAFTkqQAxzOkAzGAJA%3D%3D</x:v>
      </x:c>
      <x:c r="M78" s="32" t="str">
        <x:v>https://www.4project.co.il/product/feetech-fs90-servo-motor</x:v>
      </x:c>
      <x:c r="N78" s="27" t="str">
        <x:v>2026-09-29</x:v>
      </x:c>
    </x:row>
    <x:row r="79" ht="132" customHeight="1">
      <x:c r="A79" s="27" t="str">
        <x:v>P2</x:v>
      </x:c>
      <x:c r="B79" s="27" t="str">
        <x:v>printing</x:v>
      </x:c>
      <x:c r="C79" s="27" t="str">
        <x:v>Printer stand / bench</x:v>
      </x:c>
      <x:c r="D79" s="27" t="str">
        <x:v>IKEA BROR workbench 110 × 55 × 88 cm, article 303.332.86, as separate printer station if existing furniture is inadequate</x:v>
      </x:c>
      <x:c r="E79" s="29" t="str">
        <x:v>Later / conditional</x:v>
      </x:c>
      <x:c r="F79" s="27" t="str">
        <x:v>1 only if needed</x:v>
      </x:c>
      <x:c r="G79" s="27" t="str">
        <x:v>Separates printer vibration, filament handling and purge waste from the main electronics/assembly work area.</x:v>
      </x:c>
      <x:c r="H79" s="27" t="str">
        <x:v>IKEA states 60 kg maximum load for this workbench. Check actual printer/AMS footprint, rear cable/PTFE/exhaust clearance, lid access and room path before selection; 55 cm depth is not a guarantee of complete rear-duct clearance. This is the printer stand candidate, not the main 180 × 80 cm workbench. Reuse or obtain a local furniture quote for the main bench after measuring room and clamp clearances.
Timing: Conditional—measure and reuse furniture first</x:v>
      </x:c>
      <x:c r="I79" s="27" t="str">
        <x:v>Reuse a rigid existing table with adequate loaded capacity and working clearance</x:v>
      </x:c>
      <x:c r="J79" s="27" t="str">
        <x:v>IKEA Israel observed ILS 750; delivery/assembly charges and VAT labeling not established in extracted listing.</x:v>
      </x:c>
      <x:c r="K79" s="27" t="str">
        <x:v>IKEA Israel
Page lists product but store availability remains dynamic/unverified.</x:v>
      </x:c>
      <x:c r="L79" s="32" t="str">
        <x:v>https://www.ikea.com/il/he/p/bror-work-bench-black-pine-plywood-30333286/</x:v>
      </x:c>
      <x:c r="M79" s="32" t="str"/>
      <x:c r="N79" s="27" t="str">
        <x:v>2026-09-29</x:v>
      </x:c>
    </x:row>
    <x:row r="80" ht="117" customHeight="1">
      <x:c r="A80" s="27" t="str">
        <x:v>P3</x:v>
      </x:c>
      <x:c r="B80" s="27" t="str">
        <x:v>printing</x:v>
      </x:c>
      <x:c r="C80" s="27" t="str">
        <x:v>Printer extraction to outdoors</x:v>
      </x:c>
      <x:c r="D80" s="27" t="str">
        <x:v>P2S-compatible external exhaust kit plus fitted duct/window insert; plan whole extraction route for the shared room</x:v>
      </x:c>
      <x:c r="E80" s="28" t="str">
        <x:v>Plan installation</x:v>
      </x:c>
      <x:c r="F80" s="27" t="str">
        <x:v>1 designed installation, if keeping printer in shared room</x:v>
      </x:c>
      <x:c r="G80" s="27" t="str">
        <x:v>The useful room provision is a real extraction route and capture arrangement, not simply a nearby open window. A printer enclosure/carbon filter does not establish room exposure control.</x:v>
      </x:c>
      <x:c r="H80" s="27" t="str">
        <x:v>P2S External Exhaust Fan Kit is documented by Bambu. Verify printer revision, required back-panel parts, duct fit and current firmware. Manufacturer guide retrieval was blocked in this research; installer/supplier must establish complete parts list and operation. Do not borrow soldering extractor assumptions.
Timing: Conditional hardware, required room-planning decision before routine shared-room printing</x:v>
      </x:c>
      <x:c r="I80" s="27" t="str">
        <x:v>Dedicated ventilated printer location if a suitable outdoor discharge route cannot be made</x:v>
      </x:c>
      <x:c r="J80" s="27" t="str">
        <x:v>No validated Israel complete-installation quote; site-specific allowance required. Do not treat a fan-only listing as installed cost.</x:v>
      </x:c>
      <x:c r="K80" s="27" t="str">
        <x:v>Bambu-compatible parts supplier plus local ventilation/installation supplier
Official guide URL identified but content fetch blocked; official installation video identified. Local kit stock and installed availability unverified.</x:v>
      </x:c>
      <x:c r="L80" s="32" t="str">
        <x:v>https://wiki.bambulab.com/en/p2s/manual/external-exhaust-fan-kit</x:v>
      </x:c>
      <x:c r="M80" s="32" t="str">
        <x:v>https://www.youtube.com/watch?v=X2LzxzXUhT4</x:v>
      </x:c>
      <x:c r="N80" s="27" t="str">
        <x:v>2026-09-29</x:v>
      </x:c>
    </x:row>
    <x:row r="81" ht="102" customHeight="1">
      <x:c r="A81" s="27" t="str">
        <x:v>P4</x:v>
      </x:c>
      <x:c r="B81" s="27" t="str">
        <x:v>printing</x:v>
      </x:c>
      <x:c r="C81" s="27" t="str">
        <x:v>Separate filament dryer</x:v>
      </x:c>
      <x:c r="D81" s="27" t="str">
        <x:v>Defer: first use the Combo AMS 2 Pro for scheduled drying</x:v>
      </x:c>
      <x:c r="E81" s="29" t="str">
        <x:v>Later / conditional</x:v>
      </x:c>
      <x:c r="F81" s="27" t="str">
        <x:v>0 initially; 1 if independent drying becomes a bottleneck</x:v>
      </x:c>
      <x:c r="G81" s="27" t="str">
        <x:v>Avoid duplicates. Buy only when drying outside the AMS or independently of printer scheduling becomes useful.</x:v>
      </x:c>
      <x:c r="H81" s="27" t="str">
        <x:v>Local S2 description lists one spool up to 210 mm diameter / 85 mm width, 35–70°C, 1.75 mm filament. URL misleadingly mentions two rolls; confirm physical generation/model before purchase. Set material-specific drying instructions; do not heat mixed spools to PETG temperature blindly.
Timing: Conditional—defer</x:v>
      </x:c>
      <x:c r="I81" s="27" t="str">
        <x:v>SUNLU FilaDryer S2 (single-spool model as described in Yazamco listing)</x:v>
      </x:c>
      <x:c r="J81" s="27" t="str">
        <x:v>Yazamco displayed ILS 349; shipping ILS 39 incl. VAT, free above ILS 500, free coordinated pickup. Product price VAT treatment not explicitly labeled in extracted section.</x:v>
      </x:c>
      <x:c r="K81" s="27" t="str">
        <x:v>Yazamco 3D, Israel
Alternative shows add-to-cart, no independent live stock confirmation; seller states 2–5 business-day general delivery terms, with exceptions.</x:v>
      </x:c>
      <x:c r="L81" s="32" t="str">
        <x:v>https://bambu-lab-jp.myshopify.com/en/products/ams-2-pro</x:v>
      </x:c>
      <x:c r="M81" s="32" t="str">
        <x:v>https://3dny.co.il/product/מייבש-פילמנטים-מתקדם-ל־2-גלילים-sunlu-filadryer-s2/</x:v>
      </x:c>
      <x:c r="N81" s="27" t="str">
        <x:v>2026-09-29</x:v>
      </x:c>
    </x:row>
    <x:row r="82" ht="88" customHeight="1">
      <x:c r="A82" s="27" t="str">
        <x:v>P5</x:v>
      </x:c>
      <x:c r="B82" s="27" t="str">
        <x:v>mechanical</x:v>
      </x:c>
      <x:c r="C82" s="27" t="str">
        <x:v>Conditional metal hacksaw</x:v>
      </x:c>
      <x:c r="D82" s="27" t="str">
        <x:v>Stanley STHT20139L Rubber Grip Hacksaw, 12-inch blade</x:v>
      </x:c>
      <x:c r="E82" s="29" t="str">
        <x:v>Later / conditional</x:v>
      </x:c>
      <x:c r="F82" s="27" t="str">
        <x:v>1, only when cutting stock</x:v>
      </x:c>
      <x:c r="G82" s="27" t="str">
        <x:v>Manual cutting of ordinary metal/plastic stock without buying a powered saw.</x:v>
      </x:c>
      <x:c r="H82" s="27" t="str">
        <x:v>Choose blade tooth count for material and wall thickness. Pre-cut precision shafts where possible; not a general solution for hardened shafts. Hold work securely.
Timing: Later</x:v>
      </x:c>
      <x:c r="I82" s="27" t="str"/>
      <x:c r="J82" s="27" t="str">
        <x:v>Quote needed</x:v>
      </x:c>
      <x:c r="K82" s="27" t="str">
        <x:v>Stanley dealer
Manufacturer model verified; local stock unconfirmed.</x:v>
      </x:c>
      <x:c r="L82" s="32" t="str">
        <x:v>https://www.stanleytools.com/product/stht20139l/rubber-grip-hacksaw</x:v>
      </x:c>
      <x:c r="M82" s="32" t="str"/>
      <x:c r="N82" s="27" t="str">
        <x:v>2026-09-29</x:v>
      </x:c>
    </x:row>
    <x:row r="83" ht="88" customHeight="1">
      <x:c r="A83" s="27" t="str">
        <x:v>P6</x:v>
      </x:c>
      <x:c r="B83" s="27" t="str">
        <x:v>robotics</x:v>
      </x:c>
      <x:c r="C83" s="27" t="str">
        <x:v>Matched connector crimp tool</x:v>
      </x:c>
      <x:c r="D83" s="27" t="str">
        <x:v>Engineer PA-09 after selecting terminal family; use factory-made cables for the first ROBOTIS joints</x:v>
      </x:c>
      <x:c r="E83" s="29" t="str">
        <x:v>Later / conditional</x:v>
      </x:c>
      <x:c r="F83" s="27" t="str">
        <x:v>One tool only after contact/wire selection</x:v>
      </x:c>
      <x:c r="G83" s="27" t="str">
        <x:v>The generic instruction to buy a crimper hides differences in terminal geometry and wire ranges</x:v>
      </x:c>
      <x:c r="H83" s="27" t="str">
        <x:v>PA-09 covers selected open-barrel contacts and 32–20 AWG; check its manufacturer compatibility table for the exact terminal. Not a universal crimper, and not the correct tool for every power connector
Timing: Later: repeated custom harness building</x:v>
      </x:c>
      <x:c r="I83" s="27" t="str">
        <x:v>Terminal-manufacturer hand tool for the exact chosen contact; dedicated ferrule crimper if ferrules are required, not the PA-09</x:v>
      </x:c>
      <x:c r="J83" s="27" t="str">
        <x:v>Quote required; no verified current price</x:v>
      </x:c>
      <x:c r="K83" s="27" t="str">
        <x:v>Engineer authorized tool retailer; factory cable from ROBOTIS distributor
Product listed; Israel supply/stock not confirmed</x:v>
      </x:c>
      <x:c r="L83" s="32" t="str">
        <x:v>https://www.engineertools-jp.com/product-page/pa-09-connector-crimping-pliers</x:v>
      </x:c>
      <x:c r="M83" s="32" t="str">
        <x:v>https://robotis.us/products/openrb-150-starter-kit</x:v>
      </x:c>
      <x:c r="N83" s="27" t="str">
        <x:v>2026-09-29</x:v>
      </x:c>
    </x:row>
    <x:row r="84" ht="102" customHeight="1">
      <x:c r="A84" s="27" t="str">
        <x:v>P7</x:v>
      </x:c>
      <x:c r="B84" s="27" t="str">
        <x:v>robotics</x:v>
      </x:c>
      <x:c r="C84" s="27" t="str">
        <x:v>Actuator family trial</x:v>
      </x:c>
      <x:c r="D84" s="27" t="str">
        <x:v>ROBOTIS OpenRB-150 Tutorial Kit: one OpenRB-150 plus XL330-M288-T, TTL cable and listed screws; optional second identical XL330 after the first joint works</x:v>
      </x:c>
      <x:c r="E84" s="29" t="str">
        <x:v>Later / leg trial</x:v>
      </x:c>
      <x:c r="F84" s="27" t="str">
        <x:v>One kit; optional second servo, not a full robot set</x:v>
      </x:c>
      <x:c r="G84" s="27" t="str">
        <x:v>The smart-servo ecosystem supplies position/current/temperature/voltage feedback and a documented bus, useful for debugging legs</x:v>
      </x:c>
      <x:c r="H84" s="27" t="str">
        <x:v>XL330 is 3.7–6 V, recommended 5 V; TTL half-duplex with 3.3 V logic tolerant of 5 V. Robot mass, links, gait and joint loads must validate selection before multiplication. Ordinary PWM is cheaper and simpler but usually provides less telemetry. Neither candidate is a jumping actuator recommendation
Timing: After inventory and basic joint geometry</x:v>
      </x:c>
      <x:c r="I84" s="27" t="str">
        <x:v>Reuse a documented positional PWM servo; FEETECH FS90 from Pololu is a small unloaded motion experiment alternative, not a walking-load recommendation</x:v>
      </x:c>
      <x:c r="J84" s="27" t="str">
        <x:v>ROBOSAVVY Tutorial Kit listing £41.20 / £34.33 displayed tax-inclusive/exclusive; no confirmed Israel shipping or landed quote. This current Tutorial listing differs from older Starter bundle listing. Checked 2026-09-29</x:v>
      </x:c>
      <x:c r="K84" s="27" t="str">
        <x:v>ROBOSAVVY / Robotis UK
UK kit listed in stock; Israel shipping needs confirmation. ROBOTIS America lists $52.79 kit and $27.49 servo but ships Americas only</x:v>
      </x:c>
      <x:c r="L84" s="32" t="str">
        <x:v>https://en.robotis.com/shop_en/item.php?it_id=902-0184-000</x:v>
      </x:c>
      <x:c r="M84" s="32" t="str">
        <x:v>https://robosavvy.co.uk/robotis-openrb-150-tutorial-kit.html</x:v>
      </x:c>
      <x:c r="N84" s="27" t="str">
        <x:v>2026-09-29</x:v>
      </x:c>
    </x:row>
    <x:row r="85" ht="88" customHeight="1">
      <x:c r="A85" s="27" t="str">
        <x:v>P8</x:v>
      </x:c>
      <x:c r="B85" s="27" t="str">
        <x:v>robotics</x:v>
      </x:c>
      <x:c r="C85" s="27" t="str">
        <x:v>Actuator mechanical completion</x:v>
      </x:c>
      <x:c r="D85" s="27" t="str">
        <x:v>XL330-compatible HNX330-N102 horn set, or HNX330-N101 metal horn where justified; correct ROBOTIS frame screws and X3P cables; printed fit coupon before full leg</x:v>
      </x:c>
      <x:c r="E85" s="29" t="str">
        <x:v>Later / conditional</x:v>
      </x:c>
      <x:c r="F85" s="27" t="str">
        <x:v>One horn per driven joint; check included hardware before ordering extras</x:v>
      </x:c>
      <x:c r="G85" s="27" t="str">
        <x:v>A motor without its coupling and fasteners cannot reliably connect to printed parts</x:v>
      </x:c>
      <x:c r="H85" s="27" t="str">
        <x:v>HNX330 is for XL330/XC330, not a universal servo spline. Verify kit horn contents: listed starter contents include screws/cable but do not establish that the desired horn is included. Use correct screw length and thread type
Timing: Buy with the chosen trial actuators</x:v>
      </x:c>
      <x:c r="I85" s="27" t="str">
        <x:v>For a PWM family buy its exact spline horn, retaining screw and mounting bracket; supported pivots get matched bearings/bushings, shafts and spacers</x:v>
      </x:c>
      <x:c r="J85" s="27" t="str">
        <x:v>Quote required after joint choice</x:v>
      </x:c>
      <x:c r="K85" s="27" t="str">
        <x:v>ROBOTIS regional distributor
Manufacturer listings verified; local stock and shipping not verified</x:v>
      </x:c>
      <x:c r="L85" s="32" t="str">
        <x:v>https://robotis.us/products/hnx330-n102-5pcs</x:v>
      </x:c>
      <x:c r="M85" s="32" t="str">
        <x:v>https://robotis.us/products/hnx330-n101-set</x:v>
      </x:c>
      <x:c r="N85" s="27" t="str">
        <x:v>2026-09-29</x:v>
      </x:c>
    </x:row>
    <x:row r="86" ht="102" customHeight="1">
      <x:c r="A86" s="27" t="str">
        <x:v>P9</x:v>
      </x:c>
      <x:c r="B86" s="27" t="str">
        <x:v>robotics</x:v>
      </x:c>
      <x:c r="C86" s="27" t="str">
        <x:v>Actuator power harness</x:v>
      </x:c>
      <x:c r="D86" s="27" t="str">
        <x:v>Externally regulated 5 V bench supply for XL330 trial, correct OpenRB terminal/jumper setup, rated DC cutoff, protection, strain-relieved leads and proper distribution</x:v>
      </x:c>
      <x:c r="E86" s="29" t="str">
        <x:v>Later / conditional</x:v>
      </x:c>
      <x:c r="F86" s="27" t="str">
        <x:v>One trial harness sized to selected actuators</x:v>
      </x:c>
      <x:c r="G86" s="27" t="str">
        <x:v>Breadboard/jumper wiring and controller USB are not a dependable multi-actuator power supply</x:v>
      </x:c>
      <x:c r="H86" s="27" t="str">
        <x:v>OpenRB lists 3 A DYNAMIXEL-path current. Its broader VIN range does not permit feeding XL330 12 V. Check polarity, conductor/contact rating, actual rail voltage and board jumper; share required signal ground. Full robot sizing follows load/transient measurements
Timing: Before loaded or multiple-joint motion</x:v>
      </x:c>
      <x:c r="I86" s="27" t="str">
        <x:v>Separate higher-current actuator distribution when full-robot current exceeds controller path rating; regulator selected for a later mobile battery</x:v>
      </x:c>
      <x:c r="J86" s="27" t="str">
        <x:v>Harness quote after actuator/current decision; reuse core current-limited bench supply</x:v>
      </x:c>
      <x:c r="K86" s="27" t="str">
        <x:v>Documented connector/protection suppliers through TME, DigiKey or Mouser; final parts pending
Design-dependent parts list; do not buy an arbitrary high-current bundle</x:v>
      </x:c>
      <x:c r="L86" s="32" t="str">
        <x:v>https://emanual.robotis.com/docs/en/parts/controller/openrb-150/</x:v>
      </x:c>
      <x:c r="M86" s="32" t="str">
        <x:v>https://emanual.robotis.com/docs/en/dxl/x/xl330-m288/</x:v>
      </x:c>
      <x:c r="N86" s="27" t="str">
        <x:v>2026-09-29</x:v>
      </x:c>
    </x:row>
    <x:row r="87" ht="88" customHeight="1">
      <x:c r="A87" s="27" t="str">
        <x:v>P10</x:v>
      </x:c>
      <x:c r="B87" s="27" t="str">
        <x:v>robotics</x:v>
      </x:c>
      <x:c r="C87" s="27" t="str">
        <x:v>Controller and actuator interface</x:v>
      </x:c>
      <x:c r="D87" s="27" t="str">
        <x:v>Use the OpenRB-150 included in P7; Arduino IDE plus Dynamixel2Arduino, or its supported USB bridge/Wizard firmware for PC testing</x:v>
      </x:c>
      <x:c r="E87" s="29" t="str">
        <x:v>Later / conditional</x:v>
      </x:c>
      <x:c r="F87" s="27" t="str">
        <x:v>One controller; do not double-count the P7 kit</x:v>
      </x:c>
      <x:c r="G87" s="27" t="str">
        <x:v>TTL half-duplex smart servos need the appropriate interface; a generic USB-UART adapter alone is not the complete bus solution</x:v>
      </x:c>
      <x:c r="H87" s="27" t="str">
        <x:v>OpenRB general GPIO is 3.3 V. Confirm peripheral voltage and pinout; do not infer 5 V GPIO tolerance from XL330 bus tolerance. Supported firmware differs for embedded control versus Wizard bridge use
Timing: Together with P7</x:v>
      </x:c>
      <x:c r="I87" s="27" t="str">
        <x:v>Existing Arduino with a properly compatible DYNAMIXEL interface shield; ordinary PWM servos can use existing MCU outputs or a dedicated controller only if needed</x:v>
      </x:c>
      <x:c r="J87" s="27" t="str">
        <x:v>Included in P7 kit; no second controller budget</x:v>
      </x:c>
      <x:c r="K87" s="27" t="str">
        <x:v>ROBOTIS / ROBOSAVVY
Included with recommended trial ecosystem</x:v>
      </x:c>
      <x:c r="L87" s="32" t="str">
        <x:v>https://emanual.robotis.com/docs/en/parts/controller/openrb-150/</x:v>
      </x:c>
      <x:c r="M87" s="32" t="str">
        <x:v>https://emanual.robotis.com/docs/en/parts/interface/dynamixel_shield/</x:v>
      </x:c>
      <x:c r="N87" s="27" t="str">
        <x:v>2026-09-29</x:v>
      </x:c>
    </x:row>
    <x:row r="88" ht="88" customHeight="1">
      <x:c r="A88" s="27" t="str">
        <x:v>P11</x:v>
      </x:c>
      <x:c r="B88" s="27" t="str">
        <x:v>robotics</x:v>
      </x:c>
      <x:c r="C88" s="27" t="str">
        <x:v>One-leg and body test fixture</x:v>
      </x:c>
      <x:c r="D88" s="27" t="str">
        <x:v>Build a reusable clamped plywood base with printed actuator mount, adjustable load point and supported-body stand; use existing clamps, ruler and scale</x:v>
      </x:c>
      <x:c r="E88" s="29" t="str">
        <x:v>Later / conditional</x:v>
      </x:c>
      <x:c r="F88" s="27" t="str">
        <x:v>One leg fixture and one body support; printable parts as needed</x:v>
      </x:c>
      <x:c r="G88" s="27" t="str">
        <x:v>Turns uncontrolled movement into a repeatable loaded experiment and enables calibration before unsupported walking</x:v>
      </x:c>
      <x:c r="H88" s="27" t="str">
        <x:v>Choose fixture dimensions and fasteners after joint geometry. Mount stability, lever arm and load attachment must be verified before powered testing; test slow motion first
Timing: Before loaded-leg testing</x:v>
      </x:c>
      <x:c r="I88" s="27" t="str">
        <x:v>Small aluminum-extrusion fixture if frequent geometry changes justify it</x:v>
      </x:c>
      <x:c r="J88" s="27" t="str">
        <x:v>Local cut-to-size material quote; reuse core clamps and fasteners</x:v>
      </x:c>
      <x:c r="K88" s="27" t="str">
        <x:v>Local hardware/timber supplier plus own printer
Locally fabricated; no fixed commercial SKU recommended</x:v>
      </x:c>
      <x:c r="L88" s="32" t="str">
        <x:v>https://emanual.robotis.com/docs/en/dxl/x/xl330-m288/</x:v>
      </x:c>
      <x:c r="M88" s="32" t="str"/>
      <x:c r="N88" s="27" t="str">
        <x:v>2026-09-29</x:v>
      </x:c>
    </x:row>
    <x:row r="89" ht="88" customHeight="1">
      <x:c r="A89" s="27" t="str">
        <x:v>P12</x:v>
      </x:c>
      <x:c r="B89" s="27" t="str">
        <x:v>robotics</x:v>
      </x:c>
      <x:c r="C89" s="27" t="str">
        <x:v>USB camera and repeatable mount</x:v>
      </x:c>
      <x:c r="D89" s="27" t="str">
        <x:v>Logitech C920s with tripod-compatible mounting and a small stable stand; first reuse any existing USB webcam</x:v>
      </x:c>
      <x:c r="E89" s="29" t="str">
        <x:v>Later / conditional</x:v>
      </x:c>
      <x:c r="F89" s="27" t="str">
        <x:v>One camera, one stand; reuse bench lighting</x:v>
      </x:c>
      <x:c r="G89" s="27" t="str">
        <x:v>Allows perception experiments on the existing computer before adding onboard weight and power demand</x:v>
      </x:c>
      <x:c r="H89" s="27" t="str">
        <x:v>C920s provides 1080p at 30 fps and USB-A; verify Linux capture and required focus/exposure controls for your software. USB-C-only host needs suitable adapter. Rolling-shutter webcam is not a universal high-speed motion camera
Timing: Vision stage; can precede completed walking robot</x:v>
      </x:c>
      <x:c r="I89" s="27" t="str">
        <x:v>Raspberry Pi Camera Module 3 only when an onboard Pi is actually selected</x:v>
      </x:c>
      <x:c r="J89" s="27" t="str">
        <x:v>Quote from local Israel retailer; no verified current local price</x:v>
      </x:c>
      <x:c r="K89" s="27" t="str">
        <x:v>Logitech authorized Israel retailer
Manufacturer specifications listed; local stock not verified</x:v>
      </x:c>
      <x:c r="L89" s="32" t="str">
        <x:v>https://support.logi.com/hc/en-001/articles/360023303514-C920s-HD-Pro-Webcam-Technical-Specifications</x:v>
      </x:c>
      <x:c r="M89" s="32" t="str">
        <x:v>https://www.raspberrypi.com/products/camera-module-3/</x:v>
      </x:c>
      <x:c r="N89" s="27" t="str">
        <x:v>2026-09-29</x:v>
      </x:c>
    </x:row>
    <x:row r="90" ht="88" customHeight="1">
      <x:c r="A90" s="27" t="str">
        <x:v>P13</x:v>
      </x:c>
      <x:c r="B90" s="27" t="str">
        <x:v>robotics</x:v>
      </x:c>
      <x:c r="C90" s="27" t="str">
        <x:v>Orientation, range and contact sensing</x:v>
      </x:c>
      <x:c r="D90" s="27" t="str">
        <x:v>Use B1 kit Modulino Movement and Distance first. Optional contact switches S4.</x:v>
      </x:c>
      <x:c r="E90" s="29" t="str">
        <x:v>Included in kit</x:v>
      </x:c>
      <x:c r="F90" s="27" t="str">
        <x:v>No extra IMU/distance board initially</x:v>
      </x:c>
      <x:c r="G90" s="27" t="str">
        <x:v>Adds a specific observation to the robot rather than a box of unrelated sensors</x:v>
      </x:c>
      <x:c r="H90" s="27" t="str">
        <x:v>See Electronics starter for individual alternative modules. BNO085 is not the default due to documented I2C platform limitations.</x:v>
      </x:c>
      <x:c r="I90" s="27" t="str">
        <x:v>Use existing documented IMU/distance sensors first; start with switches where simple contact is sufficient</x:v>
      </x:c>
      <x:c r="J90" s="27" t="str">
        <x:v>Included in kit; optional switches extra.</x:v>
      </x:c>
      <x:c r="K90" s="27" t="str">
        <x:v>Adafruit or authorized international distributor
Manufacturer listings verified; stock/Israel shipping not confirmed</x:v>
      </x:c>
      <x:c r="L90" s="32" t="str">
        <x:v>https://www.adafruit.com/product/4754</x:v>
      </x:c>
      <x:c r="M90" s="32" t="str">
        <x:v>https://www.adafruit.com/product/3967</x:v>
      </x:c>
      <x:c r="N90" s="27" t="str">
        <x:v>2026-09-29</x:v>
      </x:c>
    </x:row>
    <x:row r="91" ht="88" customHeight="1">
      <x:c r="A91" s="27" t="str">
        <x:v>P14</x:v>
      </x:c>
      <x:c r="B91" s="27" t="str">
        <x:v>robotics</x:v>
      </x:c>
      <x:c r="C91" s="27" t="str">
        <x:v>USB serial adapter</x:v>
      </x:c>
      <x:c r="D91" s="27" t="str">
        <x:v>Adafruit CP2102N Friend #5335</x:v>
      </x:c>
      <x:c r="E91" s="29" t="str">
        <x:v>Later / conditional</x:v>
      </x:c>
      <x:c r="F91" s="27" t="str">
        <x:v>One</x:v>
      </x:c>
      <x:c r="G91" s="27" t="str">
        <x:v>Captures serial logs and configures boards independently of the main USB interface</x:v>
      </x:c>
      <x:c r="H91" s="27" t="str">
        <x:v>USB-C adapter signals are 3.3 V, 5 V compliant according to Adafruit; its default power output is 5 V. Verify target wiring; do not connect that 5 V pin to a 3.3 V power input. Not a complete DYNAMIXEL half-duplex interface by itself
Timing: When serial debugging needs it</x:v>
      </x:c>
      <x:c r="I91" s="27" t="str">
        <x:v>Skip if the existing boards expose every needed UART over USB</x:v>
      </x:c>
      <x:c r="J91" s="27" t="str">
        <x:v>US$5.95 observed, excluding shipping/tax</x:v>
      </x:c>
      <x:c r="K91" s="27" t="str">
        <x:v>Adafruit; also listed distributors such as DigiKey/Mouser
Add-to-cart listing observed; Israel shipping/landed cost not confirmed</x:v>
      </x:c>
      <x:c r="L91" s="32" t="str">
        <x:v>https://www.adafruit.com/product/5335</x:v>
      </x:c>
      <x:c r="M91" s="32" t="str">
        <x:v>https://learn.adafruit.com/adafruit-cp2102n-cp2104-friend-usb-to-serial-converter/pinouts</x:v>
      </x:c>
      <x:c r="N91" s="27" t="str">
        <x:v>2026-09-29</x:v>
      </x:c>
    </x:row>
    <x:row r="92" ht="102" customHeight="1">
      <x:c r="A92" s="27" t="str">
        <x:v>P15</x:v>
      </x:c>
      <x:c r="B92" s="27" t="str">
        <x:v>robotics</x:v>
      </x:c>
      <x:c r="C92" s="27" t="str">
        <x:v>Logic analyzer / oscilloscope access</x:v>
      </x:c>
      <x:c r="D92" s="27" t="str">
        <x:v>Borrow first; DSLogic U3Pro16 if repeated protocol debugging justifies purchase</x:v>
      </x:c>
      <x:c r="E92" s="29" t="str">
        <x:v>Later / conditional</x:v>
      </x:c>
      <x:c r="F92" s="27" t="str">
        <x:v>Choose one initial instrument, not all three</x:v>
      </x:c>
      <x:c r="G92" s="27" t="str">
        <x:v>Digital timing and transient power faults require different measurements; buy against the actual unresolved failure</x:v>
      </x:c>
      <x:c r="H92" s="27" t="str">
        <x:v>Check supported OS, input voltage limits, thresholds, sampling requirements and probe accessories. A digital analyzer cannot show rail droop. AD3 is a low-voltage electronics instrument, not a mains probe. Scope needed only when analog behavior remains unresolved
Timing: Conditional debugging upgrade</x:v>
      </x:c>
      <x:c r="I92" s="27" t="str">
        <x:v>Saleae Logic 8 for its software workflow; Digilent Analog Discovery 3 when compact analog plus digital work is the requirement</x:v>
      </x:c>
      <x:c r="J92" s="27" t="str">
        <x:v>DSLogic U3Pro16 manufacturer shop lists US$299 sale, US$399 regular; alternatives require quote</x:v>
      </x:c>
      <x:c r="K92" s="27" t="str">
        <x:v>DreamSourceLab; Saleae; AD3 through DigiKey Israel-facing catalogue
Product listings verified; shipping/lead time not confirmed</x:v>
      </x:c>
      <x:c r="L92" s="32" t="str">
        <x:v>https://www.dreamsourcelab.com/shop/logic-analyzer/dslogic-u3pro16/</x:v>
      </x:c>
      <x:c r="M92" s="32" t="str">
        <x:v>https://www.digikey.co.il/he/products/detail/digilent-inc/410-415/19235661</x:v>
      </x:c>
      <x:c r="N92" s="27" t="str">
        <x:v>2026-09-29</x:v>
      </x:c>
    </x:row>
    <x:row r="93" ht="102" customHeight="1">
      <x:c r="A93" s="27" t="str">
        <x:v>P16</x:v>
      </x:c>
      <x:c r="B93" s="27" t="str">
        <x:v>robotics</x:v>
      </x:c>
      <x:c r="C93" s="27" t="str">
        <x:v>Alternative motion experiment</x:v>
      </x:c>
      <x:c r="D93" s="27" t="str">
        <x:v>For a wheeled mechanism: Pololu 50:1 Micro Metal Gearmotor LP 6 V with encoder #5108 plus DRV8833 carrier #2130</x:v>
      </x:c>
      <x:c r="E93" s="29" t="str">
        <x:v>Later / conditional</x:v>
      </x:c>
      <x:c r="F93" s="27" t="str">
        <x:v>One motor for a mechanism; two matched motors only for differential drive; one appropriate driver</x:v>
      </x:c>
      <x:c r="G93" s="27" t="str">
        <x:v>Offers encoder/control learning if a wheeled or positioning project is chosen; does not supplement every walking robot automatically</x:v>
      </x:c>
      <x:c r="H93" s="27" t="str">
        <x:v>LP motor choice is a bench candidate, not validated for unknown payload. Add matching 3 mm shaft hub, bracket and encoder cable. Driver current/thermal limits and motor stall demand must match. DRV8825 needs current-limit setup and specified supply decoupling
Timing: Only if a DC-motor or stepper project is chosen</x:v>
      </x:c>
      <x:c r="I93" s="27" t="str">
        <x:v>For a positioning mechanism: documented bipolar stepper plus Pololu DRV8825 #2133, motor phase current and supply selected together</x:v>
      </x:c>
      <x:c r="J93" s="27" t="str">
        <x:v>Quote complete motor/driver/hub/cable set; no verified current basket price</x:v>
      </x:c>
      <x:c r="K93" s="27" t="str">
        <x:v>Pololu / international distributor
Products listed; stock/Israel delivery not confirmed</x:v>
      </x:c>
      <x:c r="L93" s="32" t="str">
        <x:v>https://www.pololu.com/product/5108</x:v>
      </x:c>
      <x:c r="M93" s="32" t="str">
        <x:v>https://www.pololu.com/product/2130</x:v>
      </x:c>
      <x:c r="N93" s="27" t="str">
        <x:v>2026-09-29</x:v>
      </x:c>
    </x:row>
    <x:row r="94" ht="102" customHeight="1">
      <x:c r="A94" s="27" t="str">
        <x:v>P17</x:v>
      </x:c>
      <x:c r="B94" s="27" t="str">
        <x:v>robotics</x:v>
      </x:c>
      <x:c r="C94" s="27" t="str">
        <x:v>Mobile robot battery and charger</x:v>
      </x:c>
      <x:c r="D94" s="27" t="str">
        <x:v>Keep robot tethered initially; select a protected/documented pack and regulator after voltage, measured peak current, mass and runtime are known. SkyRC B6ACneo is a charger candidate for compatible hobby packs</x:v>
      </x:c>
      <x:c r="E94" s="29" t="str">
        <x:v>Later / conditional</x:v>
      </x:c>
      <x:c r="F94" s="27" t="str">
        <x:v>One appropriately sized pack and one compatible charger after power budget</x:v>
      </x:c>
      <x:c r="G94" s="27" t="str">
        <x:v>A generic LiPo assortment can lock the project into incompatible voltages and unnecessary weight</x:v>
      </x:c>
      <x:c r="H94" s="27" t="str">
        <x:v>Battery chemistry/cell count, main and balance connectors, charge current and regulator transient capacity must be chosen together. XL330 cannot take a 2S/3S pack directly. Charger candidate has AC input but still needs correct output/balance leads and charging profile
Timing: After tethered walking and measured power budget</x:v>
      </x:c>
      <x:c r="I94" s="27" t="str">
        <x:v>Use a manufacturer-matched battery/charger ecosystem for the chosen robot platform</x:v>
      </x:c>
      <x:c r="J94" s="27" t="str">
        <x:v>Design-dependent quote; no battery price asserted</x:v>
      </x:c>
      <x:c r="K94" s="27" t="str">
        <x:v>SkyRC authorized retailer; documented pack supplier
No pack selected; charger manufacturer listing verified</x:v>
      </x:c>
      <x:c r="L94" s="32" t="str">
        <x:v>https://www2.skyrc.com/b6acneo/</x:v>
      </x:c>
      <x:c r="M94" s="32" t="str">
        <x:v>https://emanual.robotis.com/docs/en/dxl/x/xl330-m288/</x:v>
      </x:c>
      <x:c r="N94" s="27" t="str">
        <x:v>2026-09-29</x:v>
      </x:c>
    </x:row>
    <x:row r="95" ht="102" customHeight="1">
      <x:c r="A95" s="27" t="str">
        <x:v>P18</x:v>
      </x:c>
      <x:c r="B95" s="27" t="str">
        <x:v>robotics</x:v>
      </x:c>
      <x:c r="C95" s="27" t="str">
        <x:v>Onboard vision computer</x:v>
      </x:c>
      <x:c r="D95" s="27" t="str">
        <x:v>Existing computer first; Raspberry Pi 5 with cooling, storage and regulated power is a later candidate</x:v>
      </x:c>
      <x:c r="E95" s="29" t="str">
        <x:v>Later / conditional</x:v>
      </x:c>
      <x:c r="F95" s="27" t="str">
        <x:v>Zero initially; one SBC only if autonomy/latency demands it</x:v>
      </x:c>
      <x:c r="G95" s="27" t="str">
        <x:v>Camera and software experiments do not initially require extra robot mass, heat and battery load</x:v>
      </x:c>
      <x:c r="H95" s="27" t="str">
        <x:v>Measure inference latency and memory on target workload; budget cooling and peak power. Pi 5 camera connector needs appropriate mini camera cable for Camera Module 3. Supply and software support must be verified before mounting
Timing: After host-based object detection and defined autonomy need</x:v>
      </x:c>
      <x:c r="I95" s="27" t="str">
        <x:v>Keep perception on the host and send compact movement commands; choose an accelerator only after profiling the actual model</x:v>
      </x:c>
      <x:c r="J95" s="27" t="str">
        <x:v>Quote complete SBC/cooling/storage/power set at purchase; no current RAM-dependent price assumed</x:v>
      </x:c>
      <x:c r="K95" s="27" t="str">
        <x:v>Raspberry Pi approved reseller, preferably Israel for support
Manufacturer listed; exact RAM variant/local stock not selected</x:v>
      </x:c>
      <x:c r="L95" s="32" t="str">
        <x:v>https://www.raspberrypi.com/products/raspberry-pi-5/</x:v>
      </x:c>
      <x:c r="M95" s="32" t="str">
        <x:v>https://www.raspberrypi.com/products/camera-module-3/</x:v>
      </x:c>
      <x:c r="N95" s="27" t="str">
        <x:v>2026-09-29</x:v>
      </x:c>
    </x:row>
    <x:row r="96" ht="88" customHeight="1">
      <x:c r="A96" s="27" t="str">
        <x:v>P19</x:v>
      </x:c>
      <x:c r="B96" s="27" t="str">
        <x:v>robotics</x:v>
      </x:c>
      <x:c r="C96" s="27" t="str">
        <x:v>Jumping development equipment</x:v>
      </x:c>
      <x:c r="D96" s="27" t="str">
        <x:v>Separate one-leg constrained jumping test fixture; choose actuation only after jump height, robot mass, travel, energy and impact requirements are defined</x:v>
      </x:c>
      <x:c r="E96" s="29" t="str">
        <x:v>Later / conditional</x:v>
      </x:c>
      <x:c r="F96" s="27" t="str">
        <x:v>No jumping motor/battery purchase now</x:v>
      </x:c>
      <x:c r="G96" s="27" t="str">
        <x:v>Walking telemetry and printed links do not establish rapid power delivery or landing durability</x:v>
      </x:c>
      <x:c r="H96" s="27" t="str">
        <x:v>Reevaluate frame loads, joints, compliance, power electronics and energy storage. XL330 documentation warns against strong impacts; this trial ecosystem is not a jumping endorsement
Timing: Much later: dedicated jumping project</x:v>
      </x:c>
      <x:c r="I96" s="27" t="str">
        <x:v>Spring-assisted mechanism if calculations and containment design justify it; do not assume more powerful hobby servos solve the task</x:v>
      </x:c>
      <x:c r="J96" s="27" t="str">
        <x:v>Deferred engineering decision; quote after concept selection</x:v>
      </x:c>
      <x:c r="K96" s="27" t="str">
        <x:v>No vendor selected
Requirements intentionally unresolved</x:v>
      </x:c>
      <x:c r="L96" s="32" t="str">
        <x:v>https://emanual.robotis.com/docs/en/dxl/x/xl330-m288/</x:v>
      </x:c>
      <x:c r="M96" s="32" t="str"/>
      <x:c r="N96" s="27" t="str">
        <x:v>2026-09-29</x:v>
      </x:c>
    </x:row>
    <x:row r="97" ht="102" customHeight="1">
      <x:c r="A97" s="27" t="str">
        <x:v>P20</x:v>
      </x:c>
      <x:c r="B97" s="27" t="str">
        <x:v>robotics</x:v>
      </x:c>
      <x:c r="C97" s="27" t="str">
        <x:v>Drone learning platform and control</x:v>
      </x:c>
      <x:c r="D97" s="27" t="str">
        <x:v>First RadioMaster Pocket ELRS 2.4 GHz with USB simulator cable and Liftoff: Micro Drones; later BETAFPV Air65 II analog ELRS 2.4 GHz whoop plus compatible 5.8 GHz analog goggles such as VR03</x:v>
      </x:c>
      <x:c r="E97" s="29" t="str">
        <x:v>Later / conditional</x:v>
      </x:c>
      <x:c r="F97" s="27" t="str">
        <x:v>One radio/simulator first; one whoop and goggles later</x:v>
      </x:c>
      <x:c r="G97" s="27" t="str">
        <x:v>Separates pilot training from flight hardware assembly and avoids an expensive premature custom-drone basket</x:v>
      </x:c>
      <x:c r="H97" s="27" t="str">
        <x:v>Select ELRS, not CC2500; confirm firmware/binding and locally appropriate RF configuration before flight. Pocket needs two suitable 18650 cells; simulator uses USB. Air65 II is analog video, so digital-only goggles are not interchangeable. Confirm safe test space and applicable flight/radio requirements at purchase
Timing: Later: simulator before flight hardware</x:v>
      </x:c>
      <x:c r="I97" s="27" t="str">
        <x:v>A complete compatible beginner tinywhoop bundle after confirming radio protocol and analog/digital video ecosystem</x:v>
      </x:c>
      <x:c r="J97" s="27" t="str">
        <x:v>Pocket page displayed US$71.50, exact ELRS variant quote required; VR03 listing US$74.99. Whoop and simulator price require current variant/region quote</x:v>
      </x:c>
      <x:c r="K97" s="27" t="str">
        <x:v>RadioMaster official or authorized seller; BETAFPV; simulator through Steam
Product pages listed; Israel radio/battery shipping and import suitability not verified</x:v>
      </x:c>
      <x:c r="L97" s="32" t="str">
        <x:v>https://radiomasterrc.com/products/pocket-radio-controller-m2</x:v>
      </x:c>
      <x:c r="M97" s="32" t="str">
        <x:v>https://betafpv.com/products/air65-ii-brushless-whoop-quadcopter</x:v>
      </x:c>
      <x:c r="N97" s="27" t="str">
        <x:v>2026-09-29</x:v>
      </x:c>
    </x:row>
    <x:row r="98" ht="102" customHeight="1">
      <x:c r="A98" s="27" t="str">
        <x:v>P21</x:v>
      </x:c>
      <x:c r="B98" s="27" t="str">
        <x:v>robotics</x:v>
      </x:c>
      <x:c r="C98" s="27" t="str">
        <x:v>Tinywhoop power and charging</x:v>
      </x:c>
      <x:c r="D98" s="27" t="str">
        <x:v>For the Air65 II candidate: BETAFPV LAVA II 1S BT2.0 pack in a manufacturer-recommended size, plus HexaCharger Pro and correctly rated USB-C PD supply/cable</x:v>
      </x:c>
      <x:c r="E98" s="29" t="str">
        <x:v>Later / conditional</x:v>
      </x:c>
      <x:c r="F98" s="27" t="str">
        <x:v>One small pack set and one independent-port charger when whoop purchased</x:v>
      </x:c>
      <x:c r="G98" s="27" t="str">
        <x:v>Connector, chemistry and cell count must match the selected aircraft and charger; storage mode is useful for periodic flying</x:v>
      </x:c>
      <x:c r="H98" s="27" t="str">
        <x:v>Manufacturer lists LAVA II 280/320 mAh options for Air65 II; select exact variant based on aircraft guidance. Match LiHV/LiPo charging setting to pack label and use stated current. BT2.0 is not PH2.0. PD supply and cable are separate unless explicitly bundled
Timing: Together with selected whoop, not core lab</x:v>
      </x:c>
      <x:c r="I98" s="27" t="str">
        <x:v>Other documented BT2.0 1S LiHV packs only after size, weight and chemistry confirmation; no parallel charging board needed for this path</x:v>
      </x:c>
      <x:c r="J98" s="27" t="str">
        <x:v>HexaCharger Pro variant US$29.99 observed; LAVA II family from US$19.99 but exact pack variant/quantity quote required</x:v>
      </x:c>
      <x:c r="K98" s="27" t="str">
        <x:v>BETAFPV or authorized supplier that can deliver batteries to Israel
Manufacturer listings verified; battery shipment feasibility and exact stock require check</x:v>
      </x:c>
      <x:c r="L98" s="32" t="str">
        <x:v>https://betafpv.com/products/hexacharger-1s-charger</x:v>
      </x:c>
      <x:c r="M98" s="32" t="str">
        <x:v>https://betafpv.com/products/lava-ii-1s-battery</x:v>
      </x:c>
      <x:c r="N98" s="27" t="str">
        <x:v>2026-09-29</x:v>
      </x:c>
    </x:row>
    <x:row r="99" ht="88" customHeight="1">
      <x:c r="A99" s="27" t="str">
        <x:v>P22</x:v>
      </x:c>
      <x:c r="B99" s="27" t="str">
        <x:v>robotics</x:v>
      </x:c>
      <x:c r="C99" s="27" t="str">
        <x:v>Drone field and repair kit</x:v>
      </x:c>
      <x:c r="D99" s="27" t="str">
        <x:v>Small case, exact Air65 II spare propellers and frame, suitable driver, prop tool, battery labels, USB data cable and documented firmware/config backup</x:v>
      </x:c>
      <x:c r="E99" s="29" t="str">
        <x:v>Later / conditional</x:v>
      </x:c>
      <x:c r="F99" s="27" t="str">
        <x:v>One case, one spare frame, a few exact prop sets; no spare motors until motor/shaft variant known</x:v>
      </x:c>
      <x:c r="G99" s="27" t="str">
        <x:v>Minor crashes otherwise halt learning because generic props and fasteners often do not fit</x:v>
      </x:c>
      <x:c r="H99" s="27" t="str">
        <x:v>Air65 II variants use different motor/prop configurations; match shaft diameter, prop size and rotation. Keep charging area appropriate for the chosen battery; avoid charging unattended. Do not buy a large custom-build kit before flying chosen platform
Timing: With flight hardware, not before simulator</x:v>
      </x:c>
      <x:c r="I99" s="27" t="str">
        <x:v>Reuse core bench tools; add only spares that match the final aircraft revision</x:v>
      </x:c>
      <x:c r="J99" s="27" t="str">
        <x:v>Manufacturer Air65 II frame listing US$4.99; remaining kit quote after exact aircraft variant</x:v>
      </x:c>
      <x:c r="K99" s="27" t="str">
        <x:v>BETAFPV for exact spares; reuse local tools/case
Spare frame family listed; variant stock not verified</x:v>
      </x:c>
      <x:c r="L99" s="32" t="str">
        <x:v>https://betafpv.com/collections/parts-spares</x:v>
      </x:c>
      <x:c r="M99" s="32" t="str">
        <x:v>https://support.betafpv.com/hc/en-us/articles/54654422544409-CLI-and-Firmware-for-Air65-II</x:v>
      </x:c>
      <x:c r="N99" s="27" t="str">
        <x:v>2026-09-29</x:v>
      </x:c>
    </x:row>
  </x:sheetData>
  <x:pageMargins left="0.7" right="0.7" top="0.75" bottom="0.75" header="0.3" footer="0.3"/>
  <x:tableParts count="1">
    <x:tablePart xmlns:r="http://schemas.openxmlformats.org/officeDocument/2006/relationships" r:id="R23ec2c1b1a474860"/>
  </x:tableParts>
</x:worksheet>
</file>

<file path=xl/worksheets/sheet4.xml><?xml version="1.0" encoding="utf-8"?>
<x:worksheet xmlns:x="http://schemas.openxmlformats.org/spreadsheetml/2006/main">
  <x:sheetPr>
    <x:tabColor rgb="FF168B84"/>
  </x:sheetPr>
  <x:sheetViews>
    <x:sheetView workbookViewId="0">
      <x:pane ySplit="6" topLeftCell="A7" activePane="bottomLeft" state="frozen"/>
    </x:sheetView>
  </x:sheetViews>
  <x:sheetFormatPr defaultRowHeight="15"/>
  <x:cols>
    <x:col min="1" max="1" width="23" hidden="0" customWidth="1"/>
    <x:col min="2" max="2" width="44" hidden="0" customWidth="1"/>
    <x:col min="3" max="3" width="18" hidden="0" customWidth="1"/>
    <x:col min="4" max="4" width="60" hidden="0" customWidth="1"/>
    <x:col min="5" max="5" width="27" hidden="0" customWidth="1"/>
    <x:col min="6" max="6" width="23" hidden="0" customWidth="1"/>
  </x:cols>
  <x:sheetData>
    <x:row r="1">
      <x:c r="A1" s="25"/>
      <x:c r="B1" s="25"/>
      <x:c r="C1" s="25"/>
      <x:c r="D1" s="25"/>
      <x:c r="E1" s="25"/>
      <x:c r="F1" s="25"/>
    </x:row>
    <x:row r="2" ht="30" customHeight="1">
      <x:c r="A2" s="19" t="str">
        <x:v>Your home lab — choices and buying plan</x:v>
      </x:c>
      <x:c r="B2" s="25"/>
      <x:c r="C2" s="25"/>
      <x:c r="D2" s="25"/>
      <x:c r="E2" s="25"/>
      <x:c r="F2" s="25"/>
    </x:row>
    <x:row r="3">
      <x:c r="A3" s="20" t="str">
        <x:v>P2S Combo + AMS 2 Pro selected. Full comparison now contains 115 entries. No boards, sensors or motors currently owned.</x:v>
      </x:c>
      <x:c r="B3" s="25"/>
      <x:c r="C3" s="25"/>
      <x:c r="D3" s="25"/>
      <x:c r="E3" s="25"/>
      <x:c r="F3" s="25"/>
    </x:row>
    <x:row r="4">
      <x:c r="A4" s="20" t="str">
        <x:v>Printer quantities updated in Shopping list. Other original allowances remain; there is no complete delivered quote for the whole lab.</x:v>
      </x:c>
      <x:c r="B4" s="25"/>
      <x:c r="C4" s="25"/>
      <x:c r="D4" s="25"/>
      <x:c r="E4" s="25"/>
      <x:c r="F4" s="25"/>
    </x:row>
    <x:row r="5">
      <x:c r="A5" s="25"/>
      <x:c r="B5" s="25"/>
      <x:c r="C5" s="25"/>
      <x:c r="D5" s="25"/>
      <x:c r="E5" s="25"/>
      <x:c r="F5" s="25"/>
    </x:row>
    <x:row r="6" ht="38" customHeight="1">
      <x:c r="A6" s="41" t="str">
        <x:v>Area</x:v>
      </x:c>
      <x:c r="B6" s="41" t="str">
        <x:v>Leading choice</x:v>
      </x:c>
      <x:c r="C6" s="41" t="str">
        <x:v>Buy when</x:v>
      </x:c>
      <x:c r="D6" s="41" t="str">
        <x:v>Why / next action</x:v>
      </x:c>
      <x:c r="E6" s="41" t="str">
        <x:v>Price treatment</x:v>
      </x:c>
      <x:c r="F6" s="41" t="str">
        <x:v>Research IDs</x:v>
      </x:c>
    </x:row>
    <x:row r="7" ht="74" customHeight="1">
      <x:c r="A7" s="42" t="str">
        <x:v>Printing</x:v>
      </x:c>
      <x:c r="B7" s="42" t="str">
        <x:v>Selected: Bambu P2S Combo + AMS 2 Pro</x:v>
      </x:c>
      <x:c r="C7" s="42" t="str">
        <x:v>First</x:v>
      </x:c>
      <x:c r="D7" s="42" t="str">
        <x:v>Use supplied hardened hotend/gears and textured PEI. AMS drying first; no separate dryer. Count included maintenance spares.</x:v>
      </x:c>
      <x:c r="E7" s="42" t="str">
        <x:v>Prior BUG quote ILS 3,890; confirm checkout</x:v>
      </x:c>
      <x:c r="F7" s="42" t="str">
        <x:v>1–5, P2–P4, PR1–PR8</x:v>
      </x:c>
    </x:row>
    <x:row r="8" ht="74" customHeight="1">
      <x:c r="A8" s="42" t="str">
        <x:v>Precision tools</x:v>
      </x:c>
      <x:c r="B8" s="42" t="str">
        <x:v>Bondhus hex keys; Proskit pliers; compare Mako/Moray</x:v>
      </x:c>
      <x:c r="C8" s="42" t="str">
        <x:v>First / inventory</x:v>
      </x:c>
      <x:c r="D8" s="42" t="str">
        <x:v>Moray saves on bit kit but needs 5.5 and 7 mm nut drivers. Reuse household tools and start with fewer clamps.</x:v>
      </x:c>
      <x:c r="E8" s="42" t="str">
        <x:v>Quoted and unquoted options in Full comparison</x:v>
      </x:c>
      <x:c r="F8" s="42" t="str">
        <x:v>6–24</x:v>
      </x:c>
    </x:row>
    <x:row r="9" ht="74" customHeight="1">
      <x:c r="A9" s="42" t="str">
        <x:v>Fasteners and inserts</x:v>
      </x:c>
      <x:c r="B9" s="42" t="str">
        <x:v>A2 M3/M4 hardware; documented M3 inserts; PINE64 insertion set</x:v>
      </x:c>
      <x:c r="C9" s="42" t="str">
        <x:v>First</x:v>
      </x:c>
      <x:c r="D9" s="42" t="str">
        <x:v>Use one insert geometry in CAD. Order the Pinecil-compatible tip adapter. Deduct bundled fasteners.</x:v>
      </x:c>
      <x:c r="E9" s="42" t="str">
        <x:v>Counted quantities; some quotes pending</x:v>
      </x:c>
      <x:c r="F9" s="42" t="str">
        <x:v>25–32</x:v>
      </x:c>
    </x:row>
    <x:row r="10" ht="74" customHeight="1">
      <x:c r="A10" s="42" t="str">
        <x:v>Soldering</x:v>
      </x:c>
      <x:c r="B10" s="42" t="str">
        <x:v>Pinecil V2 with power, cable, stand and useful tips</x:v>
      </x:c>
      <x:c r="C10" s="42" t="str">
        <x:v>Electronics stage</x:v>
      </x:c>
      <x:c r="D10" s="42" t="str">
        <x:v>Iron price alone is not the complete setup. Confirm stand fit; obtain local fume-capture quote.</x:v>
      </x:c>
      <x:c r="E10" s="42" t="str">
        <x:v>Accessories priced separately</x:v>
      </x:c>
      <x:c r="F10" s="42" t="str">
        <x:v>35–44</x:v>
      </x:c>
    </x:row>
    <x:row r="11" ht="74" customHeight="1">
      <x:c r="A11" s="42" t="str">
        <x:v>Bench instruments</x:v>
      </x:c>
      <x:c r="B11" s="42" t="str">
        <x:v>Brymen BM235; Korad KA3005PS</x:v>
      </x:c>
      <x:c r="C11" s="42" t="str">
        <x:v>Electronics stage</x:v>
      </x:c>
      <x:c r="D11" s="42" t="str">
        <x:v>Keep the meter; use lower-cost current-limited supply with documented output leads.</x:v>
      </x:c>
      <x:c r="E11" s="42" t="str">
        <x:v>Korad EUR 79 excluding VAT/shipping</x:v>
      </x:c>
      <x:c r="F11" s="42" t="str">
        <x:v>33–34, 47–48</x:v>
      </x:c>
    </x:row>
    <x:row r="12" ht="74" customHeight="1">
      <x:c r="A12" s="42" t="str">
        <x:v>Robot joints</x:v>
      </x:c>
      <x:c r="B12" s="42" t="str">
        <x:v>2 × FS90 first; OpenRB + XL330 for leg trial</x:v>
      </x:c>
      <x:c r="C12" s="42" t="str">
        <x:v>Gadgets now; legs next</x:v>
      </x:c>
      <x:c r="D12" s="42" t="str">
        <x:v>FS90 servos use external 5 V power. Buy smart trial kit only when testing robot joints; do not buy all motor families.</x:v>
      </x:c>
      <x:c r="E12" s="42" t="str">
        <x:v>Prices in Electronics starter</x:v>
      </x:c>
      <x:c r="F12" s="42" t="str">
        <x:v>B1, M1–M4</x:v>
      </x:c>
    </x:row>
    <x:row r="13">
      <x:c r="A13" s="25"/>
      <x:c r="B13" s="25"/>
      <x:c r="C13" s="25"/>
      <x:c r="D13" s="25"/>
      <x:c r="E13" s="25"/>
      <x:c r="F13" s="25"/>
    </x:row>
    <x:row r="14">
      <x:c r="A14" s="35" t="str">
        <x:v>Suggested order</x:v>
      </x:c>
      <x:c r="B14" s="25"/>
      <x:c r="C14" s="25"/>
      <x:c r="D14" s="25"/>
      <x:c r="E14" s="25"/>
      <x:c r="F14" s="25"/>
    </x:row>
    <x:row r="15" ht="38" customHeight="1">
      <x:c r="A15" s="41" t="str">
        <x:v>Stage</x:v>
      </x:c>
      <x:c r="B15" s="41" t="str">
        <x:v>Focus</x:v>
      </x:c>
      <x:c r="C15" s="41" t="str">
        <x:v>Result</x:v>
      </x:c>
      <x:c r="D15" s="41" t="str">
        <x:v>Before moving on</x:v>
      </x:c>
      <x:c r="E15" s="25"/>
      <x:c r="F15" s="25"/>
    </x:row>
    <x:row r="16" ht="48" customHeight="1">
      <x:c r="A16" s="26" t="str">
        <x:v>1</x:v>
      </x:c>
      <x:c r="B16" s="26" t="str">
        <x:v>Printing and assembly</x:v>
      </x:c>
      <x:c r="C16" s="26" t="str">
        <x:v>Usable parts</x:v>
      </x:c>
      <x:c r="D16" s="26" t="str">
        <x:v>Set up printer, measurement, fasteners and fixtures; plan room extraction.</x:v>
      </x:c>
      <x:c r="E16" s="25"/>
      <x:c r="F16" s="25"/>
    </x:row>
    <x:row r="17" ht="48" customHeight="1">
      <x:c r="A17" s="26" t="str">
        <x:v>2</x:v>
      </x:c>
      <x:c r="B17" s="26" t="str">
        <x:v>Choose one matched kit + electronics bench</x:v>
      </x:c>
      <x:c r="C17" s="26" t="str">
        <x:v>Sensors and motion</x:v>
      </x:c>
      <x:c r="D17" s="26" t="str">
        <x:v>Value: Grove kit + 2 FS90. Arduino kit has richer sensors. Build external 5 V servo hookup; match code to board revision.</x:v>
      </x:c>
      <x:c r="E17" s="25"/>
      <x:c r="F17" s="25"/>
    </x:row>
    <x:row r="18" ht="48" customHeight="1">
      <x:c r="A18" s="26" t="str">
        <x:v>3</x:v>
      </x:c>
      <x:c r="B18" s="26" t="str">
        <x:v>One or two robot joints</x:v>
      </x:c>
      <x:c r="C18" s="26" t="str">
        <x:v>Measured motion</x:v>
      </x:c>
      <x:c r="D18" s="26" t="str">
        <x:v>Test joint fit, load, current and repeatability on a supported fixture.</x:v>
      </x:c>
      <x:c r="E18" s="25"/>
      <x:c r="F18" s="25"/>
    </x:row>
    <x:row r="19" ht="48" customHeight="1">
      <x:c r="A19" s="26" t="str">
        <x:v>4</x:v>
      </x:c>
      <x:c r="B19" s="26" t="str">
        <x:v>Vision on existing computer</x:v>
      </x:c>
      <x:c r="C19" s="26" t="str">
        <x:v>Repeatable perception</x:v>
      </x:c>
      <x:c r="D19" s="26" t="str">
        <x:v>Add camera and controlled lighting. Defer onboard compute, batteries, jumping and drones until needed.</x:v>
      </x:c>
      <x:c r="E19" s="25"/>
      <x:c r="F19" s="25"/>
    </x:row>
    <x:row r="20">
      <x:c r="A20" s="25"/>
      <x:c r="B20" s="25"/>
      <x:c r="C20" s="25"/>
      <x:c r="D20" s="25"/>
      <x:c r="E20" s="25"/>
      <x:c r="F20" s="25"/>
    </x:row>
    <x:row r="21">
      <x:c r="A21" s="35" t="str">
        <x:v>Ownership and candidate electronics</x:v>
      </x:c>
      <x:c r="B21" s="25"/>
      <x:c r="C21" s="25"/>
      <x:c r="D21" s="25"/>
      <x:c r="E21" s="25"/>
      <x:c r="F21" s="25"/>
    </x:row>
    <x:row r="22">
      <x:c r="A22" s="25" t="str">
        <x:v>Confirmed: boards, sensors and motors currently owned = 0. Planned models below are not yet purchased.</x:v>
      </x:c>
      <x:c r="B22" s="25"/>
      <x:c r="C22" s="25"/>
      <x:c r="D22" s="25"/>
      <x:c r="E22" s="25"/>
      <x:c r="F22" s="25"/>
    </x:row>
    <x:row r="23">
      <x:c r="A23" s="25"/>
      <x:c r="B23" s="25"/>
      <x:c r="C23" s="25"/>
      <x:c r="D23" s="25"/>
      <x:c r="E23" s="25"/>
      <x:c r="F23" s="25"/>
    </x:row>
    <x:row r="24" ht="38" customHeight="1">
      <x:c r="A24" s="41" t="str">
        <x:v>Category</x:v>
      </x:c>
      <x:c r="B24" s="41" t="str">
        <x:v>Exact model / marking</x:v>
      </x:c>
      <x:c r="C24" s="41" t="str">
        <x:v>Quantity owned</x:v>
      </x:c>
      <x:c r="D24" s="41" t="str">
        <x:v>Supply voltage / logic level</x:v>
      </x:c>
      <x:c r="E24" s="41" t="str">
        <x:v>Connector / pinout</x:v>
      </x:c>
      <x:c r="F24" s="41" t="str">
        <x:v>Notes / photo reference</x:v>
      </x:c>
    </x:row>
    <x:row r="25" ht="36" customHeight="1">
      <x:c r="A25" s="42" t="str">
        <x:v>Main controller</x:v>
      </x:c>
      <x:c r="B25" s="52" t="str">
        <x:v>Grove kit / Arduino Plug and Make</x:v>
      </x:c>
      <x:c r="C25" s="53" t="n">
        <x:v>0</x:v>
      </x:c>
      <x:c r="D25" s="52" t="str">
        <x:v>Board-dependent</x:v>
      </x:c>
      <x:c r="E25" s="52" t="str">
        <x:v>Use included kit cable</x:v>
      </x:c>
      <x:c r="F25" s="52" t="str">
        <x:v>Choose one route B1</x:v>
      </x:c>
    </x:row>
    <x:row r="26" ht="36" customHeight="1">
      <x:c r="A26" s="42" t="str">
        <x:v>Compact controller</x:v>
      </x:c>
      <x:c r="B26" s="52" t="str">
        <x:v>XIAO ESP32S3 / Nano ESP32</x:v>
      </x:c>
      <x:c r="C26" s="53" t="n">
        <x:v>0</x:v>
      </x:c>
      <x:c r="D26" s="52" t="str">
        <x:v>3.3 V GPIO</x:v>
      </x:c>
      <x:c r="E26" s="52" t="str">
        <x:v>USB-C</x:v>
      </x:c>
      <x:c r="F26" s="52" t="str">
        <x:v>Later B2</x:v>
      </x:c>
    </x:row>
    <x:row r="27" ht="36" customHeight="1">
      <x:c r="A27" s="42" t="str">
        <x:v>Starter sensors</x:v>
      </x:c>
      <x:c r="B27" s="52" t="str">
        <x:v>Grove modules / Modulino set</x:v>
      </x:c>
      <x:c r="C27" s="53" t="n">
        <x:v>0</x:v>
      </x:c>
      <x:c r="D27" s="52" t="str">
        <x:v>Module-dependent</x:v>
      </x:c>
      <x:c r="E27" s="52" t="str">
        <x:v>Grove and Qwiic differ</x:v>
      </x:c>
      <x:c r="F27" s="52" t="str">
        <x:v>Included with selected kit</x:v>
      </x:c>
    </x:row>
    <x:row r="28" ht="36" customHeight="1">
      <x:c r="A28" s="42" t="str">
        <x:v>Extra sensors</x:v>
      </x:c>
      <x:c r="B28" s="52" t="str">
        <x:v>S1 range / S2 gyro / S4 switches</x:v>
      </x:c>
      <x:c r="C28" s="53" t="n">
        <x:v>0</x:v>
      </x:c>
      <x:c r="D28" s="52" t="str">
        <x:v>Exact module voltage</x:v>
      </x:c>
      <x:c r="E28" s="52" t="str">
        <x:v>Adapters may be required</x:v>
      </x:c>
      <x:c r="F28" s="52" t="str">
        <x:v>Add only missing capability</x:v>
      </x:c>
    </x:row>
    <x:row r="29" ht="36" customHeight="1">
      <x:c r="A29" s="42" t="str">
        <x:v>Small motors</x:v>
      </x:c>
      <x:c r="B29" s="52" t="str">
        <x:v>2 × FEETECH FS90 planned</x:v>
      </x:c>
      <x:c r="C29" s="53" t="n">
        <x:v>0</x:v>
      </x:c>
      <x:c r="D29" s="52" t="str">
        <x:v>External 5 V rail</x:v>
      </x:c>
      <x:c r="E29" s="52" t="str">
        <x:v>3-pin servo</x:v>
      </x:c>
      <x:c r="F29" s="52" t="str">
        <x:v>M1 + M2</x:v>
      </x:c>
    </x:row>
    <x:row r="30" ht="36" customHeight="1">
      <x:c r="A30" s="42" t="str">
        <x:v>Smart servos</x:v>
      </x:c>
      <x:c r="B30" s="52" t="str">
        <x:v>XL330 leg trial — later</x:v>
      </x:c>
      <x:c r="C30" s="53" t="n">
        <x:v>0</x:v>
      </x:c>
      <x:c r="D30" s="52" t="str">
        <x:v>5 V recommended</x:v>
      </x:c>
      <x:c r="E30" s="52" t="str">
        <x:v>DYNAMIXEL TTL</x:v>
      </x:c>
      <x:c r="F30" s="52" t="str">
        <x:v>M3 + M4</x:v>
      </x:c>
    </x:row>
    <x:row r="31" ht="36" customHeight="1">
      <x:c r="A31" s="42" t="str">
        <x:v>USB cable</x:v>
      </x:c>
      <x:c r="B31" s="52" t="str">
        <x:v>Programming cable in selected kit</x:v>
      </x:c>
      <x:c r="C31" s="53" t="n">
        <x:v>0</x:v>
      </x:c>
      <x:c r="D31" s="52" t="str">
        <x:v>USB</x:v>
      </x:c>
      <x:c r="E31" s="52" t="str">
        <x:v>Verify received kit connector</x:v>
      </x:c>
      <x:c r="F31" s="52" t="str">
        <x:v>No duplicate first cable</x:v>
      </x:c>
    </x:row>
    <x:row r="32" ht="36" customHeight="1">
      <x:c r="A32" s="42" t="str">
        <x:v>Other tools</x:v>
      </x:c>
      <x:c r="B32" s="52" t="str">
        <x:v>Check household tools</x:v>
      </x:c>
      <x:c r="C32" s="53" t="str"/>
      <x:c r="D32" s="52" t="str"/>
      <x:c r="E32" s="52" t="str"/>
      <x:c r="F32" s="52" t="str">
        <x:v>Reuse where suitable</x:v>
      </x:c>
    </x:row>
    <x:row r="33">
      <x:c r="A33" s="25"/>
      <x:c r="B33" s="25"/>
      <x:c r="C33" s="25"/>
      <x:c r="D33" s="25"/>
      <x:c r="E33" s="25"/>
      <x:c r="F33" s="25"/>
    </x:row>
    <x:row r="34">
      <x:c r="A34" s="25"/>
      <x:c r="B34" s="25"/>
      <x:c r="C34" s="25"/>
      <x:c r="D34" s="25"/>
      <x:c r="E34" s="25"/>
      <x:c r="F34" s="25"/>
    </x:row>
    <x:row r="35">
      <x:c r="A35" s="35" t="str">
        <x:v>Product comparisons — alternatives retained</x:v>
      </x:c>
      <x:c r="B35" s="25"/>
      <x:c r="C35" s="25"/>
      <x:c r="D35" s="25"/>
      <x:c r="E35" s="25"/>
      <x:c r="F35" s="25"/>
    </x:row>
    <x:row r="36" ht="32" customHeight="1">
      <x:c r="A36" s="57" t="str">
        <x:v>Item</x:v>
      </x:c>
      <x:c r="B36" s="57" t="str">
        <x:v>Currency</x:v>
      </x:c>
      <x:c r="C36" s="57" t="str">
        <x:v>Previous price</x:v>
      </x:c>
      <x:c r="D36" s="57" t="str">
        <x:v>Value price</x:v>
      </x:c>
      <x:c r="E36" s="57" t="str">
        <x:v>Difference</x:v>
      </x:c>
      <x:c r="F36" s="57" t="str">
        <x:v>Basis / limitation</x:v>
      </x:c>
    </x:row>
    <x:row r="37" ht="85" customHeight="1">
      <x:c r="A37" s="42" t="str">
        <x:v>Printer</x:v>
      </x:c>
      <x:c r="B37" s="42" t="str">
        <x:v>ILS</x:v>
      </x:c>
      <x:c r="C37" s="70" t="n">
        <x:v>3890</x:v>
      </x:c>
      <x:c r="D37" s="70" t="n">
        <x:v>1299</x:v>
      </x:c>
      <x:c r="E37" s="70" t="n">
        <x:f>C37-D37</x:f>
        <x:v>2591</x:v>
      </x:c>
      <x:c r="F37" s="42" t="str">
        <x:v>P2S Combo SELECTED. A1 price retained as an unselected comparison; its price difference is not realized savings.</x:v>
      </x:c>
    </x:row>
    <x:row r="38" ht="85" customHeight="1">
      <x:c r="A38" s="42" t="str">
        <x:v>Bench supply</x:v>
      </x:c>
      <x:c r="B38" s="42" t="str">
        <x:v>EUR</x:v>
      </x:c>
      <x:c r="C38" s="70" t="n">
        <x:v>249</x:v>
      </x:c>
      <x:c r="D38" s="70" t="n">
        <x:v>79</x:v>
      </x:c>
      <x:c r="E38" s="70" t="n">
        <x:f>C38-D38</x:f>
        <x:v>170</x:v>
      </x:c>
      <x:c r="F38" s="42" t="str">
        <x:v>Both Eleshop prices exclude VAT. Delivery/imports extra.</x:v>
      </x:c>
    </x:row>
    <x:row r="39" ht="85" customHeight="1">
      <x:c r="A39" s="42" t="str">
        <x:v>Matched kit</x:v>
      </x:c>
      <x:c r="B39" s="42" t="str">
        <x:v>USD</x:v>
      </x:c>
      <x:c r="C39" s="70" t="n">
        <x:v>87.4</x:v>
      </x:c>
      <x:c r="D39" s="70" t="n">
        <x:v>23.9</x:v>
      </x:c>
      <x:c r="E39" s="70" t="n">
        <x:f>C39-D39</x:f>
        <x:v>63.50000000000001</x:v>
      </x:c>
      <x:c r="F39" s="42" t="str">
        <x:v>Arduino vs Grove. Different sensors; delivery/imports extra.</x:v>
      </x:c>
    </x:row>
    <x:row r="40" ht="85" customHeight="1">
      <x:c r="A40" s="42" t="str">
        <x:v>Precision bits</x:v>
      </x:c>
      <x:c r="B40" s="42" t="str">
        <x:v>USD</x:v>
      </x:c>
      <x:c r="C40" s="70" t="n">
        <x:v>39.95</x:v>
      </x:c>
      <x:c r="D40" s="70" t="n">
        <x:v>19.95</x:v>
      </x:c>
      <x:c r="E40" s="70" t="n">
        <x:f>C40-D40</x:f>
        <x:v>20.000000000000004</x:v>
      </x:c>
      <x:c r="F40" s="42" t="str">
        <x:v>Mako vs Moray. Extra 5.5 mm nut driver reduces saving.</x:v>
      </x:c>
    </x:row>
    <x:row r="42">
      <x:c r="A42" t="str">
        <x:v>Price differences are comparisons, not realized savings. Printer choice is P2S Combo. Sources and qualifications are in Full comparison.</x:v>
      </x:c>
    </x:row>
    <x:row r="44">
      <x:c r="A44" s="35" t="str">
        <x:v>Selected P2S printer checklist</x:v>
      </x:c>
    </x:row>
    <x:row r="45" ht="34" customHeight="1">
      <x:c r="A45" s="76" t="str">
        <x:v>Item</x:v>
      </x:c>
      <x:c r="B45" s="76" t="str">
        <x:v>Selected specification</x:v>
      </x:c>
      <x:c r="C45" s="76" t="str">
        <x:v>Buy now qty</x:v>
      </x:c>
      <x:c r="D45" s="76" t="str">
        <x:v>Unit</x:v>
      </x:c>
      <x:c r="E45" s="76" t="str">
        <x:v>Decision</x:v>
      </x:c>
      <x:c r="F45" s="76" t="str">
        <x:v>Reference IDs</x:v>
      </x:c>
    </x:row>
    <x:row r="46" ht="52" customHeight="1">
      <x:c r="A46" s="42" t="str">
        <x:v>Printer</x:v>
      </x:c>
      <x:c r="B46" s="42" t="str">
        <x:v>P2S Combo with AMS 2 Pro</x:v>
      </x:c>
      <x:c r="C46" s="77" t="n">
        <x:v>1</x:v>
      </x:c>
      <x:c r="D46" s="42" t="str">
        <x:v>bundle</x:v>
      </x:c>
      <x:c r="E46" s="42" t="str">
        <x:v>Selected, not purchased</x:v>
      </x:c>
      <x:c r="F46" s="42" t="str">
        <x:v>1</x:v>
      </x:c>
    </x:row>
    <x:row r="47" ht="52" customHeight="1">
      <x:c r="A47" s="42" t="str">
        <x:v>PLA</x:v>
      </x:c>
      <x:c r="B47" s="42" t="str">
        <x:v>Basic light grey + contrasting Basic/Matte</x:v>
      </x:c>
      <x:c r="C47" s="77" t="n">
        <x:v>2</x:v>
      </x:c>
      <x:c r="D47" s="42" t="str">
        <x:v>1 kg spool</x:v>
      </x:c>
      <x:c r="E47" s="42" t="str">
        <x:v>Starter stock</x:v>
      </x:c>
      <x:c r="F47" s="42" t="str">
        <x:v>2</x:v>
      </x:c>
    </x:row>
    <x:row r="48" ht="52" customHeight="1">
      <x:c r="A48" s="42" t="str">
        <x:v>PETG</x:v>
      </x:c>
      <x:c r="B48" s="42" t="str">
        <x:v>Standard PETG; dry per supplier</x:v>
      </x:c>
      <x:c r="C48" s="77" t="n">
        <x:v>1</x:v>
      </x:c>
      <x:c r="D48" s="42" t="str">
        <x:v>1 kg spool</x:v>
      </x:c>
      <x:c r="E48" s="42" t="str">
        <x:v>Starter stock</x:v>
      </x:c>
      <x:c r="F48" s="42" t="str">
        <x:v>3</x:v>
      </x:c>
    </x:row>
    <x:row r="49" ht="52" customHeight="1">
      <x:c r="A49" s="42" t="str">
        <x:v>Storage</x:v>
      </x:c>
      <x:c r="B49" s="42" t="str">
        <x:v>500 g indicating silica gel + storage for removed rolls</x:v>
      </x:c>
      <x:c r="C49" s="77" t="n">
        <x:v>1</x:v>
      </x:c>
      <x:c r="D49" s="42" t="str">
        <x:v>set</x:v>
      </x:c>
      <x:c r="E49" s="42" t="str">
        <x:v>Proposed quantity; quote required</x:v>
      </x:c>
      <x:c r="F49" s="42" t="str">
        <x:v>4</x:v>
      </x:c>
    </x:row>
    <x:row r="50" ht="52" customHeight="1">
      <x:c r="A50" s="42" t="str">
        <x:v>Cleaning</x:v>
      </x:c>
      <x:c r="B50" s="42" t="str">
        <x:v>Shared IPA bottle + 2 lint-free cloths + detergent</x:v>
      </x:c>
      <x:c r="C50" s="77" t="n">
        <x:v>1</x:v>
      </x:c>
      <x:c r="D50" s="42" t="str">
        <x:v>set</x:v>
      </x:c>
      <x:c r="E50" s="42" t="str">
        <x:v>Already counted in lab cleaning row</x:v>
      </x:c>
      <x:c r="F50" s="42" t="str">
        <x:v>62</x:v>
      </x:c>
    </x:row>
    <x:row r="51" ht="52" customHeight="1">
      <x:c r="A51" s="42" t="str">
        <x:v>Build plate</x:v>
      </x:c>
      <x:c r="B51" s="42" t="str">
        <x:v>Supplied textured PEI</x:v>
      </x:c>
      <x:c r="C51" s="77" t="n">
        <x:v>0</x:v>
      </x:c>
      <x:c r="D51" s="42" t="str">
        <x:v>extra plate</x:v>
      </x:c>
      <x:c r="E51" s="42" t="str">
        <x:v>Included</x:v>
      </x:c>
      <x:c r="F51" s="42" t="str">
        <x:v>PR1</x:v>
      </x:c>
    </x:row>
    <x:row r="52" ht="52" customHeight="1">
      <x:c r="A52" s="42" t="str">
        <x:v>Extruder gears</x:v>
      </x:c>
      <x:c r="B52" s="42" t="str">
        <x:v>Supplied hardened steel</x:v>
      </x:c>
      <x:c r="C52" s="77" t="n">
        <x:v>0</x:v>
      </x:c>
      <x:c r="D52" s="42" t="str">
        <x:v>extra set</x:v>
      </x:c>
      <x:c r="E52" s="42" t="str">
        <x:v>Included</x:v>
      </x:c>
      <x:c r="F52" s="42" t="str">
        <x:v>PR2</x:v>
      </x:c>
    </x:row>
    <x:row r="53" ht="52" customHeight="1">
      <x:c r="A53" s="42" t="str">
        <x:v>Dryer</x:v>
      </x:c>
      <x:c r="B53" s="42" t="str">
        <x:v>Use included AMS 2 Pro</x:v>
      </x:c>
      <x:c r="C53" s="77" t="n">
        <x:v>0</x:v>
      </x:c>
      <x:c r="D53" s="42" t="str">
        <x:v>separate unit</x:v>
      </x:c>
      <x:c r="E53" s="42" t="str">
        <x:v>Defer S2 / S4 / Space Pi</x:v>
      </x:c>
      <x:c r="F53" s="42" t="str">
        <x:v>P4</x:v>
      </x:c>
    </x:row>
    <x:row r="54" ht="52" customHeight="1">
      <x:c r="A54" s="42" t="str">
        <x:v>Hotend spare</x:v>
      </x:c>
      <x:c r="B54" s="42" t="str">
        <x:v>H2/P2S FAH025, 0.4 mm hardened</x:v>
      </x:c>
      <x:c r="C54" s="77" t="n">
        <x:v>0</x:v>
      </x:c>
      <x:c r="D54" s="42" t="str">
        <x:v>spare</x:v>
      </x:c>
      <x:c r="E54" s="42" t="str">
        <x:v>Optional 1 for downtime protection</x:v>
      </x:c>
      <x:c r="F54" s="42" t="str">
        <x:v>5</x:v>
      </x:c>
    </x:row>
    <x:row r="55" ht="52" customHeight="1">
      <x:c r="A55" s="42" t="str">
        <x:v>Cutters / socks</x:v>
      </x:c>
      <x:c r="B55" s="42" t="str">
        <x:v>Count supplied replacements</x:v>
      </x:c>
      <x:c r="C55" s="77" t="n">
        <x:v>0</x:v>
      </x:c>
      <x:c r="D55" s="42" t="str">
        <x:v>refill packs</x:v>
      </x:c>
      <x:c r="E55" s="42" t="str">
        <x:v>Refill when low</x:v>
      </x:c>
      <x:c r="F55" s="42" t="str">
        <x:v>PR3–PR4</x:v>
      </x:c>
    </x:row>
    <x:row r="56" ht="52" customHeight="1">
      <x:c r="A56" s="42" t="str">
        <x:v>PTFE</x:v>
      </x:c>
      <x:c r="B56" s="42" t="str">
        <x:v>4 mm OD / 2.5 mm ID</x:v>
      </x:c>
      <x:c r="C56" s="77" t="n">
        <x:v>0</x:v>
      </x:c>
      <x:c r="D56" s="42" t="str">
        <x:v>metres</x:v>
      </x:c>
      <x:c r="E56" s="42" t="str">
        <x:v>Optional spare length 1–2 m</x:v>
      </x:c>
      <x:c r="F56" s="42" t="str">
        <x:v>PR5</x:v>
      </x:c>
    </x:row>
    <x:row r="57" ht="52" customHeight="1">
      <x:c r="A57" s="42" t="str">
        <x:v>ASA</x:v>
      </x:c>
      <x:c r="B57" s="42" t="str">
        <x:v>Project-dependent filament</x:v>
      </x:c>
      <x:c r="C57" s="77" t="n">
        <x:v>0</x:v>
      </x:c>
      <x:c r="D57" s="42" t="str">
        <x:v>1 kg spool</x:v>
      </x:c>
      <x:c r="E57" s="42" t="str">
        <x:v>After room extraction is resolved</x:v>
      </x:c>
      <x:c r="F57" s="42" t="str">
        <x:v>PR6</x:v>
      </x:c>
    </x:row>
    <x:row r="58" ht="52" customHeight="1">
      <x:c r="A58" s="42" t="str">
        <x:v>Support material</x:v>
      </x:c>
      <x:c r="B58" s="42" t="str">
        <x:v>Compatible PLA interface filament</x:v>
      </x:c>
      <x:c r="C58" s="77" t="n">
        <x:v>0</x:v>
      </x:c>
      <x:c r="D58" s="42" t="str">
        <x:v>spool</x:v>
      </x:c>
      <x:c r="E58" s="42" t="str">
        <x:v>When supported surfaces require it</x:v>
      </x:c>
      <x:c r="F58" s="42" t="str">
        <x:v>PR7</x:v>
      </x:c>
    </x:row>
    <x:row r="59" ht="52" customHeight="1">
      <x:c r="A59" s="42" t="str">
        <x:v>Maintenance</x:v>
      </x:c>
      <x:c r="B59" s="42" t="str">
        <x:v>P2S-specified oil / grease</x:v>
      </x:c>
      <x:c r="C59" s="77" t="n">
        <x:v>0</x:v>
      </x:c>
      <x:c r="D59" s="42" t="str">
        <x:v>refill</x:v>
      </x:c>
      <x:c r="E59" s="42" t="str">
        <x:v>Use supplied stock first</x:v>
      </x:c>
      <x:c r="F59" s="42" t="str">
        <x:v>PR8</x:v>
      </x:c>
    </x:row>
    <x:row r="60" ht="52" customHeight="1">
      <x:c r="A60" s="42" t="str">
        <x:v>Extraction</x:v>
      </x:c>
      <x:c r="B60" s="42" t="str">
        <x:v>P2S duct/window installation</x:v>
      </x:c>
      <x:c r="C60" s="77"/>
      <x:c r="D60" s="42" t="str">
        <x:v>installation</x:v>
      </x:c>
      <x:c r="E60" s="42" t="str">
        <x:v>Required setup decision; quote pending</x:v>
      </x:c>
      <x:c r="F60" s="42" t="str">
        <x:v>P3</x:v>
      </x:c>
    </x:row>
  </x:sheetData>
  <x:pageMargins left="0.7" right="0.7" top="0.75" bottom="0.75" header="0.3" footer="0.3"/>
  <x:tableParts count="3">
    <x:tablePart xmlns:r="http://schemas.openxmlformats.org/officeDocument/2006/relationships" r:id="R5d6d5e2cd82b4624"/>
    <x:tablePart xmlns:r="http://schemas.openxmlformats.org/officeDocument/2006/relationships" r:id="R10f89360f22a4278"/>
    <x:tablePart xmlns:r="http://schemas.openxmlformats.org/officeDocument/2006/relationships" r:id="R6ecc0504034a48da"/>
  </x:tableParts>
</x:worksheet>
</file>

<file path=xl/worksheets/sheet5.xml><?xml version="1.0" encoding="utf-8"?>
<x:worksheet xmlns:x="http://schemas.openxmlformats.org/spreadsheetml/2006/main">
  <x:sheetPr>
    <x:tabColor rgb="FF168B84"/>
  </x:sheetPr>
  <x:sheetViews>
    <x:sheetView workbookViewId="0">
      <x:pane xSplit="2" ySplit="2" topLeftCell="C3" activePane="bottomRight" state="frozen"/>
    </x:sheetView>
  </x:sheetViews>
  <x:sheetFormatPr defaultRowHeight="15"/>
  <x:cols>
    <x:col min="1" max="1" width="8" hidden="0" customWidth="1"/>
    <x:col min="2" max="2" width="15" hidden="0" customWidth="1"/>
    <x:col min="3" max="3" width="58" hidden="0" customWidth="1"/>
    <x:col min="4" max="4" width="29" hidden="0" customWidth="1"/>
    <x:col min="5" max="5" width="15" hidden="0" customWidth="1"/>
    <x:col min="6" max="6" width="33" hidden="0" customWidth="1"/>
    <x:col min="7" max="7" width="56" hidden="0" customWidth="1"/>
    <x:col min="8" max="8" width="86" hidden="0" customWidth="1"/>
    <x:col min="9" max="9" width="64" hidden="0" customWidth="1"/>
    <x:col min="10" max="10" width="55" hidden="0" customWidth="1"/>
    <x:col min="11" max="11" width="78" hidden="0" customWidth="1"/>
    <x:col min="12" max="12" width="88" hidden="0" customWidth="1"/>
  </x:cols>
  <x:sheetData>
    <x:row r="1">
      <x:c r="A1" s="25"/>
      <x:c r="B1" s="25"/>
      <x:c r="C1" s="25"/>
      <x:c r="D1" s="25"/>
      <x:c r="E1" s="25"/>
      <x:c r="F1" s="25"/>
      <x:c r="G1" s="25"/>
      <x:c r="H1" s="25"/>
      <x:c r="I1" s="25"/>
      <x:c r="J1" s="25"/>
      <x:c r="K1" s="25"/>
      <x:c r="L1" s="25"/>
    </x:row>
    <x:row r="2" ht="30" customHeight="1">
      <x:c r="A2" s="19" t="str">
        <x:v>Electronics starter — previous Arduino route</x:v>
      </x:c>
      <x:c r="B2" s="25"/>
      <x:c r="C2" s="25"/>
      <x:c r="D2" s="25"/>
      <x:c r="E2" s="25"/>
      <x:c r="F2" s="25"/>
      <x:c r="G2" s="25"/>
      <x:c r="H2" s="25"/>
      <x:c r="I2" s="25"/>
      <x:c r="J2" s="25"/>
      <x:c r="K2" s="25"/>
      <x:c r="L2" s="25"/>
    </x:row>
    <x:row r="3">
      <x:c r="A3" s="25" t="str">
        <x:v>No boards, sensors or motors owned. Full comparison includes Grove/XIAO alternatives and the selected P2S printer route.</x:v>
      </x:c>
      <x:c r="B3" s="25"/>
      <x:c r="C3" s="25"/>
      <x:c r="D3" s="25"/>
      <x:c r="E3" s="25"/>
      <x:c r="F3" s="25"/>
      <x:c r="G3" s="25"/>
      <x:c r="H3" s="25"/>
      <x:c r="I3" s="25"/>
      <x:c r="J3" s="25"/>
      <x:c r="K3" s="25"/>
      <x:c r="L3" s="25"/>
    </x:row>
    <x:row r="4">
      <x:c r="A4" s="25" t="str">
        <x:v>Previous route: Arduino Plug and Make + 2 FS90. Latest value proposal: Grove Beginner Kit + 2 FS90. Choose one kit.</x:v>
      </x:c>
      <x:c r="B4" s="25"/>
      <x:c r="C4" s="25"/>
      <x:c r="D4" s="25"/>
      <x:c r="E4" s="25"/>
      <x:c r="F4" s="25"/>
      <x:c r="G4" s="25"/>
      <x:c r="H4" s="25"/>
      <x:c r="I4" s="25"/>
      <x:c r="J4" s="25"/>
      <x:c r="K4" s="25"/>
      <x:c r="L4" s="25"/>
    </x:row>
    <x:row r="5">
      <x:c r="A5" s="25" t="str">
        <x:v>Observed hardware prices: USD87.40 + ILS32.80. Mixed currencies are not a total; kit shipping/import costs and other lab equipment are additional.</x:v>
      </x:c>
      <x:c r="B5" s="25"/>
      <x:c r="C5" s="25"/>
      <x:c r="D5" s="25"/>
      <x:c r="E5" s="25"/>
      <x:c r="F5" s="25"/>
      <x:c r="G5" s="25"/>
      <x:c r="H5" s="25"/>
      <x:c r="I5" s="25"/>
      <x:c r="J5" s="25"/>
      <x:c r="K5" s="25"/>
      <x:c r="L5" s="25"/>
    </x:row>
    <x:row r="6">
      <x:c r="A6" s="25" t="str">
        <x:v>Quantities and kit contents below belong to the previous Arduino route. They are not a combined order for both routes.</x:v>
      </x:c>
      <x:c r="B6" s="25"/>
      <x:c r="C6" s="25"/>
      <x:c r="D6" s="25"/>
      <x:c r="E6" s="25"/>
      <x:c r="F6" s="25"/>
      <x:c r="G6" s="25"/>
      <x:c r="H6" s="25"/>
      <x:c r="I6" s="25"/>
      <x:c r="J6" s="25"/>
      <x:c r="K6" s="25"/>
      <x:c r="L6" s="25"/>
    </x:row>
    <x:row r="7">
      <x:c r="A7" s="25" t="str">
        <x:v>Included does not mean already owned: all kit contents below arrive with B1. No separate purchase for the first set.</x:v>
      </x:c>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ht="38" customHeight="1">
      <x:c r="A9" s="50" t="str">
        <x:v>#</x:v>
      </x:c>
      <x:c r="B9" s="50" t="str">
        <x:v>Capability</x:v>
      </x:c>
      <x:c r="C9" s="50" t="str">
        <x:v>Included hardware</x:v>
      </x:c>
      <x:c r="D9" s="50" t="str">
        <x:v>Qty in kit</x:v>
      </x:c>
      <x:c r="E9" s="50" t="str">
        <x:v>Buy separately?</x:v>
      </x:c>
      <x:c r="F9" s="50" t="str">
        <x:v>Purpose</x:v>
      </x:c>
      <x:c r="G9" s="25"/>
      <x:c r="H9" s="25"/>
      <x:c r="I9" s="25"/>
      <x:c r="J9" s="25"/>
      <x:c r="K9" s="25"/>
      <x:c r="L9" s="25"/>
    </x:row>
    <x:row r="10" ht="54" customHeight="1">
      <x:c r="A10" s="42" t="n">
        <x:v>1</x:v>
      </x:c>
      <x:c r="B10" s="42" t="str">
        <x:v>Controller</x:v>
      </x:c>
      <x:c r="C10" s="42" t="str">
        <x:v>UNO R4 WiFi</x:v>
      </x:c>
      <x:c r="D10" s="42" t="n">
        <x:v>1</x:v>
      </x:c>
      <x:c r="E10" s="42" t="str">
        <x:v>No</x:v>
      </x:c>
      <x:c r="F10" s="42" t="str">
        <x:v>Programmable main board; USB-C, 5 V main GPIO, 3.3 V Qwiic</x:v>
      </x:c>
      <x:c r="G10" s="25"/>
      <x:c r="H10" s="25"/>
      <x:c r="I10" s="25"/>
      <x:c r="J10" s="25"/>
      <x:c r="K10" s="25"/>
      <x:c r="L10" s="25"/>
    </x:row>
    <x:row r="11" ht="54" customHeight="1">
      <x:c r="A11" s="42" t="n">
        <x:v>2</x:v>
      </x:c>
      <x:c r="B11" s="42" t="str">
        <x:v>Motion</x:v>
      </x:c>
      <x:c r="C11" s="42" t="str">
        <x:v>Modulino Movement / LSM6DSOXTR</x:v>
      </x:c>
      <x:c r="D11" s="42" t="n">
        <x:v>1</x:v>
      </x:c>
      <x:c r="E11" s="42" t="str">
        <x:v>No</x:v>
      </x:c>
      <x:c r="F11" s="42" t="str">
        <x:v>Acceleration and angular velocity; not absolute position</x:v>
      </x:c>
      <x:c r="G11" s="25"/>
      <x:c r="H11" s="25"/>
      <x:c r="I11" s="25"/>
      <x:c r="J11" s="25"/>
      <x:c r="K11" s="25"/>
      <x:c r="L11" s="25"/>
    </x:row>
    <x:row r="12" ht="54" customHeight="1">
      <x:c r="A12" s="42" t="n">
        <x:v>3</x:v>
      </x:c>
      <x:c r="B12" s="42" t="str">
        <x:v>Distance</x:v>
      </x:c>
      <x:c r="C12" s="42" t="str">
        <x:v>Modulino Distance / VL53L4CD</x:v>
      </x:c>
      <x:c r="D12" s="42" t="n">
        <x:v>1</x:v>
      </x:c>
      <x:c r="E12" s="42" t="str">
        <x:v>No</x:v>
      </x:c>
      <x:c r="F12" s="42" t="str">
        <x:v>Near-object range sensing; validate actual scene</x:v>
      </x:c>
      <x:c r="G12" s="25"/>
      <x:c r="H12" s="25"/>
      <x:c r="I12" s="25"/>
      <x:c r="J12" s="25"/>
      <x:c r="K12" s="25"/>
      <x:c r="L12" s="25"/>
    </x:row>
    <x:row r="13" ht="54" customHeight="1">
      <x:c r="A13" s="42" t="n">
        <x:v>4</x:v>
      </x:c>
      <x:c r="B13" s="42" t="str">
        <x:v>Environment</x:v>
      </x:c>
      <x:c r="C13" s="42" t="str">
        <x:v>Modulino Thermo / HS3003</x:v>
      </x:c>
      <x:c r="D13" s="42" t="n">
        <x:v>1</x:v>
      </x:c>
      <x:c r="E13" s="42" t="str">
        <x:v>No</x:v>
      </x:c>
      <x:c r="F13" s="42" t="str">
        <x:v>Ambient temperature and humidity</x:v>
      </x:c>
      <x:c r="G13" s="25"/>
      <x:c r="H13" s="25"/>
      <x:c r="I13" s="25"/>
      <x:c r="J13" s="25"/>
      <x:c r="K13" s="25"/>
      <x:c r="L13" s="25"/>
    </x:row>
    <x:row r="14" ht="54" customHeight="1">
      <x:c r="A14" s="42" t="n">
        <x:v>5</x:v>
      </x:c>
      <x:c r="B14" s="42" t="str">
        <x:v>Controls</x:v>
      </x:c>
      <x:c r="C14" s="42" t="str">
        <x:v>Modulino Buttons + Knob</x:v>
      </x:c>
      <x:c r="D14" s="42" t="n">
        <x:v>2</x:v>
      </x:c>
      <x:c r="E14" s="42" t="str">
        <x:v>No</x:v>
      </x:c>
      <x:c r="F14" s="42" t="str">
        <x:v>Pushbuttons and rotary input</x:v>
      </x:c>
      <x:c r="G14" s="25"/>
      <x:c r="H14" s="25"/>
      <x:c r="I14" s="25"/>
      <x:c r="J14" s="25"/>
      <x:c r="K14" s="25"/>
      <x:c r="L14" s="25"/>
    </x:row>
    <x:row r="15" ht="54" customHeight="1">
      <x:c r="A15" s="42" t="n">
        <x:v>6</x:v>
      </x:c>
      <x:c r="B15" s="42" t="str">
        <x:v>Feedback</x:v>
      </x:c>
      <x:c r="C15" s="42" t="str">
        <x:v>Modulino Pixels + Buzzer</x:v>
      </x:c>
      <x:c r="D15" s="42" t="n">
        <x:v>2</x:v>
      </x:c>
      <x:c r="E15" s="42" t="str">
        <x:v>No</x:v>
      </x:c>
      <x:c r="F15" s="42" t="str">
        <x:v>RGB light and sound output</x:v>
      </x:c>
      <x:c r="G15" s="25"/>
      <x:c r="H15" s="25"/>
      <x:c r="I15" s="25"/>
      <x:c r="J15" s="25"/>
      <x:c r="K15" s="25"/>
      <x:c r="L15" s="25"/>
    </x:row>
    <x:row r="16" ht="54" customHeight="1">
      <x:c r="A16" s="42" t="n">
        <x:v>7</x:v>
      </x:c>
      <x:c r="B16" s="42" t="str">
        <x:v>Connections</x:v>
      </x:c>
      <x:c r="C16" s="42" t="str">
        <x:v>Qwiic leads; USB-C cable + USB-A adapter</x:v>
      </x:c>
      <x:c r="D16" s="42" t="str">
        <x:v>7 + 1</x:v>
      </x:c>
      <x:c r="E16" s="42" t="str">
        <x:v>No</x:v>
      </x:c>
      <x:c r="F16" s="42" t="str">
        <x:v>Matching sensor and programming cables</x:v>
      </x:c>
      <x:c r="G16" s="25"/>
      <x:c r="H16" s="25"/>
      <x:c r="I16" s="25"/>
      <x:c r="J16" s="25"/>
      <x:c r="K16" s="25"/>
      <x:c r="L16" s="25"/>
    </x:row>
    <x:row r="17" ht="54" customHeight="1">
      <x:c r="A17" s="42" t="n">
        <x:v>8</x:v>
      </x:c>
      <x:c r="B17" s="42" t="str">
        <x:v>Mounting</x:v>
      </x:c>
      <x:c r="C17" s="42" t="str">
        <x:v>Base, screws, nuts and spacers</x:v>
      </x:c>
      <x:c r="D17" s="42" t="str">
        <x:v>1 base + hardware</x:v>
      </x:c>
      <x:c r="E17" s="42" t="str">
        <x:v>No</x:v>
      </x:c>
      <x:c r="F17" s="42" t="str">
        <x:v>Keep kit mounting hardware with the kit</x:v>
      </x:c>
      <x:c r="G17" s="25"/>
      <x:c r="H17" s="25"/>
      <x:c r="I17" s="25"/>
      <x:c r="J17" s="25"/>
      <x:c r="K17" s="25"/>
      <x:c r="L17" s="25"/>
    </x:row>
    <x:row r="18">
      <x:c r="A18" s="25"/>
      <x:c r="B18" s="25"/>
      <x:c r="C18" s="25"/>
      <x:c r="D18" s="25"/>
      <x:c r="E18" s="25"/>
      <x:c r="F18" s="25"/>
      <x:c r="G18" s="25"/>
      <x:c r="H18" s="25"/>
      <x:c r="I18" s="25"/>
      <x:c r="J18" s="25"/>
      <x:c r="K18" s="25"/>
      <x:c r="L18" s="25"/>
    </x:row>
    <x:row r="19">
      <x:c r="A19" s="25" t="str">
        <x:v>Connection plan: computer → USB → UNO; UNO Qwiic/Wire1 → kit modules; GPIO signal → servo; bench 5 V → servo power; common ground.</x:v>
      </x:c>
      <x:c r="B19" s="25"/>
      <x:c r="C19" s="25"/>
      <x:c r="D19" s="25"/>
      <x:c r="E19" s="25"/>
      <x:c r="F19" s="25"/>
      <x:c r="G19" s="25"/>
      <x:c r="H19" s="25"/>
      <x:c r="I19" s="25"/>
      <x:c r="J19" s="25"/>
      <x:c r="K19" s="25"/>
      <x:c r="L19" s="25"/>
    </x:row>
    <x:row r="20">
      <x:c r="A20" s="25" t="str">
        <x:v>First experiments: log each sensor → servo with no load → printed pointer/latch → endstop → supported robot-leg trial → camera on existing computer.</x:v>
      </x:c>
      <x:c r="B20" s="25"/>
      <x:c r="C20" s="25"/>
      <x:c r="D20" s="25"/>
      <x:c r="E20" s="25"/>
      <x:c r="F20" s="25"/>
      <x:c r="G20" s="25"/>
      <x:c r="H20" s="25"/>
      <x:c r="I20" s="25"/>
      <x:c r="J20" s="25"/>
      <x:c r="K20" s="25"/>
      <x:c r="L20" s="25"/>
    </x:row>
    <x:row r="21">
      <x:c r="A21" s="25" t="str">
        <x:v>For code generation, give the AI the exact board, library, bus and voltage. Modulino sensors use Wire1; UNO R3 AVR-specific code may require adaptation.</x:v>
      </x:c>
      <x:c r="B21" s="25"/>
      <x:c r="C21" s="25"/>
      <x:c r="D21" s="25"/>
      <x:c r="E21" s="25"/>
      <x:c r="F21" s="25"/>
      <x:c r="G21" s="25"/>
      <x:c r="H21" s="25"/>
      <x:c r="I21" s="25"/>
      <x:c r="J21" s="25"/>
      <x:c r="K21" s="25"/>
      <x:c r="L21" s="25"/>
    </x:row>
    <x:row r="22">
      <x:c r="A22" s="25"/>
      <x:c r="B22" s="25"/>
      <x:c r="C22" s="25"/>
      <x:c r="D22" s="25"/>
      <x:c r="E22" s="25"/>
      <x:c r="F22" s="25"/>
      <x:c r="G22" s="25"/>
      <x:c r="H22" s="25"/>
      <x:c r="I22" s="25"/>
      <x:c r="J22" s="25"/>
      <x:c r="K22" s="25"/>
      <x:c r="L22" s="25"/>
    </x:row>
    <x:row r="23" ht="38" customHeight="1">
      <x:c r="A23" s="50" t="str">
        <x:v>ID</x:v>
      </x:c>
      <x:c r="B23" s="50" t="str">
        <x:v>Group</x:v>
      </x:c>
      <x:c r="C23" s="50" t="str">
        <x:v>Recommended product / package</x:v>
      </x:c>
      <x:c r="D23" s="50" t="str">
        <x:v>Reference quantity</x:v>
      </x:c>
      <x:c r="E23" s="50" t="str">
        <x:v>Initial order qty</x:v>
      </x:c>
      <x:c r="F23" s="50" t="str">
        <x:v>Decision</x:v>
      </x:c>
      <x:c r="G23" s="50" t="str">
        <x:v>What it enables</x:v>
      </x:c>
      <x:c r="H23" s="50" t="str">
        <x:v>Compatibility / completion</x:v>
      </x:c>
      <x:c r="I23" s="50" t="str">
        <x:v>Observed prices / exclusions</x:v>
      </x:c>
      <x:c r="J23" s="50" t="str">
        <x:v>Alternative</x:v>
      </x:c>
      <x:c r="K23" s="50" t="str">
        <x:v>Technical source</x:v>
      </x:c>
      <x:c r="L23" s="50" t="str">
        <x:v>Buying link / other sources</x:v>
      </x:c>
    </x:row>
    <x:row r="24" ht="105" customHeight="1">
      <x:c r="A24" s="27" t="str">
        <x:v>B1</x:v>
      </x:c>
      <x:c r="B24" s="27" t="str">
        <x:v>controllers</x:v>
      </x:c>
      <x:c r="C24" s="27" t="str">
        <x:v>Arduino Plug and Make Kit AKX00069 (includes genuine UNO R4 WiFi ABX00087)</x:v>
      </x:c>
      <x:c r="D24" s="27" t="str">
        <x:v>1</x:v>
      </x:c>
      <x:c r="E24" s="44" t="n">
        <x:v>1</x:v>
      </x:c>
      <x:c r="F24" s="45" t="str">
        <x:v>Buy now — replaces separate main board and seven starter modules</x:v>
      </x:c>
      <x:c r="G24" s="27" t="str">
        <x:v>A coherent first electronics platform with documented library, sensor cables and mounting base. Covers distance, motion, temperature/humidity, input and feedback without seven unrelated breakout purchases. No motors or power drivers included.</x:v>
      </x:c>
      <x:c r="H24" s="27" t="str">
        <x:v>UNO main GPIO is 5 V; onboard Qwiic is 3.3 V on Wire1. Current Arduino_Modulino source defaults to Wire1 on UNO R4 WiFi. Arduino Servo 1.3.0 declares renesas_uno support; separately power servos and join grounds. Kit buzzer defaults to I2C 0x3C, often also an OLED address: change buzzer address or use supported display address 0x3D before combining. Review libraries for the actual board; UNO R3 AVR-specific libraries are not automatically compatible.</x:v>
      </x:c>
      <x:c r="I24" s="27" t="str">
        <x:v>Mouser Israel: USD87.40, stock shown. Import duties/taxes collected at delivery; shipping not included in this quote. Official Arduino alternative EUR95.20 displayed incl VAT; Israel checkout unverified. Standalone UNO fallback ₪160.80 incl VAT; buy only if replacing kit route. Checked 29 Sep 2026.</x:v>
      </x:c>
      <x:c r="J24" s="27" t="str">
        <x:v>Standalone Arduino UNO R4 WiFi ABX00087 at 4project, plus individual sensors only if kit unavailable; do not buy both</x:v>
      </x:c>
      <x:c r="K24" s="32" t="str">
        <x:v>https://docs-content.arduino.cc/resources/datasheets/AKX00069-datasheet.pdf</x:v>
      </x:c>
      <x:c r="L24" s="32" t="str">
        <x:v>https://www.mouser.co.il/en/ProductDetail/Arduino/AKX00069?qs=i8QVZAFTkqQAxzOkAzGAJA%3D%3D
https://store.arduino.cc/products/plug-and-make-kit
https://github.com/arduino-libraries/Arduino_Modulino/blob/main/src/Modulino.h
https://www.4project.co.il/product/arduino-uno-r4-wifi
https://github.com/arduino-libraries/Servo/blob/master/library.properties</x:v>
      </x:c>
    </x:row>
    <x:row r="25" ht="165" customHeight="1">
      <x:c r="A25" s="27" t="str">
        <x:v>B2</x:v>
      </x:c>
      <x:c r="B25" s="27" t="str">
        <x:v>controllers</x:v>
      </x:c>
      <x:c r="C25" s="27" t="str">
        <x:v>Arduino Nano ESP32 WITH HEADERS ABX00083</x:v>
      </x:c>
      <x:c r="D25" s="27" t="str">
        <x:v>1</x:v>
      </x:c>
      <x:c r="E25" s="44" t="n">
        <x:v>0</x:v>
      </x:c>
      <x:c r="F25" s="46" t="str">
        <x:v>Later — compact independent gadget</x:v>
      </x:c>
      <x:c r="G25" s="27" t="str">
        <x:v>SameArduino IDE workflow in a compactUSB-C board with wireless and more memory for standalone gadgets. Buy when embedding a controller would otherwise tie up the mainUNO.</x:v>
      </x:c>
      <x:c r="H25" s="27" t="str">
        <x:v>GPIO3.3V only, not5V tolerant. ABX00083 has soldered headers; localABX00092 does not. NoQwiic connector onboard: use correctly wiredJST-SH breakout to3V3/GND/A4/A5 when needed. USB-C for programming; useArduinoNanoESP32 board package and namedD-pin constants to avoid ESP32GPIO/pin-number confusion. Needs ESP32-compatible motor/sensor libraries; UNO R4 binaries/libraries with hardware-specificcode cannot simply be copied. VBUS5V available only withUSB input; VIN recommended6–21V per currentdatasheet. If reusing Modulino library on Nano ESP32, current source requires GPIO-number pin numbering because Arduino default pin remapping conflicts with tone/noTone; check installed library guidance.</x:v>
      </x:c>
      <x:c r="I25" s="27" t="str">
        <x:v>OfficialArduino€21.60 displayedVATincluded, shipping/Israelimport costs unverified. Local headerlessABX00092₪105.20inclVAT +headers; availability not stated as verifiedstock. Checked2026-09-29.</x:v>
      </x:c>
      <x:c r="J25" s="27" t="str">
        <x:v>Local Arduino Nano ESP32ABX00092 without headers + solder2×15-pin2.54mm headers; no need to purchaseboth</x:v>
      </x:c>
      <x:c r="K25" s="32" t="str">
        <x:v>https://docs.arduino.cc/resources/datasheets/ABX00083-datasheet.pdf</x:v>
      </x:c>
      <x:c r="L25" s="32" t="str">
        <x:v>https://store.arduino.cc/products/nano-esp32-with-headers
https://www.4project.co.il/product/arduino-nano-esp32</x:v>
      </x:c>
    </x:row>
    <x:row r="26" ht="90" customHeight="1">
      <x:c r="A26" s="27" t="str">
        <x:v>B3</x:v>
      </x:c>
      <x:c r="B26" s="27" t="str">
        <x:v>controllers</x:v>
      </x:c>
      <x:c r="C26" s="27" t="str">
        <x:v>SparkFun CAB-16905 USB2.0 Type-C to Type-C1m</x:v>
      </x:c>
      <x:c r="D26" s="27" t="str">
        <x:v>1</x:v>
      </x:c>
      <x:c r="E26" s="44" t="n">
        <x:v>0</x:v>
      </x:c>
      <x:c r="F26" s="46" t="str">
        <x:v>Optional spare — kit includes data cable</x:v>
      </x:c>
      <x:c r="G26" s="27" t="str">
        <x:v>A known-good spare helps isolate cable faults; the kit cable handles initial MacBook USB-C programming, so this is optional.</x:v>
      </x:c>
      <x:c r="H26" s="27" t="str">
        <x:v>Manufacturer confirmsUSB2.0 data480Mbit/s; bothendsUSB-C.2.0 speed sufficient for board programming/serial. This cable is forcontrollers; do not substitutePinecilheat-resistant powercable unless data capability is verified. NoUSB hub needed for oneboard. Do not feed a forced9/12/20VPDtrigger into acontrollerUSB port.</x:v>
      </x:c>
      <x:c r="I26" s="27" t="str">
        <x:v>4project CAB-16905 ILS 42.60 each including VAT, shipping extra. Stock quantity not readable. Alternative WS-25003 ILS 13.77 each incl VAT sale (seller data claim; manufacturer specification not independently verified). Checked 2026-09-29.</x:v>
      </x:c>
      <x:c r="J26" s="27" t="str">
        <x:v>WaveshareWS-25003USB-C100W1m listed by4project as data-capable,₪13.77 sale; manufacturer specification not independently verified, or reuse testedUSB-Cdata cable</x:v>
      </x:c>
      <x:c r="K26" s="32" t="str">
        <x:v>https://www.sparkfun.com/usb-2-0-type-c-cable-1-meter.html</x:v>
      </x:c>
      <x:c r="L26" s="32" t="str">
        <x:v>https://www.4project.co.il/section/usb-cables
https://www.4project.co.il/product/usb-type-c-cable-100w-1meter</x:v>
      </x:c>
    </x:row>
    <x:row r="27" ht="88" customHeight="1">
      <x:c r="A27" s="27" t="str">
        <x:v>M1</x:v>
      </x:c>
      <x:c r="B27" s="27" t="str">
        <x:v>motors</x:v>
      </x:c>
      <x:c r="C27" s="27" t="str">
        <x:v>FEETECH FS90 from 4project; includes servo horns and mounting hardware</x:v>
      </x:c>
      <x:c r="D27" s="27" t="str">
        <x:v>2</x:v>
      </x:c>
      <x:c r="E27" s="44" t="n">
        <x:v>2</x:v>
      </x:c>
      <x:c r="F27" s="45" t="str">
        <x:v>Buy first</x:v>
      </x:c>
      <x:c r="G27" s="27" t="str">
        <x:v>An inexpensive documented actuator for pointers, latches, small pan/tilt mechanisms and printed link experiments; no separate motor driver needed</x:v>
      </x:c>
      <x:c r="H27" s="27" t="str">
        <x:v>4.8–6 V power; accepts 3.3 V and 5 V servo signals per Pololu, compatible with UNO R4 5 V GPIO. Use separate regulated 5 V motor rail and common ground. Start inside documented approximately 120-degree range. Supplied horn avoids guessing spline compatibility. Not validated for carrying a walking robot</x:v>
      </x:c>
      <x:c r="I27" s="27" t="str">
        <x:v>₪16.40 each incl VAT at 4project; 2 = ₪32.80; listing verified 2026-09-29, live stock/dispatch not explicitly confirmed</x:v>
      </x:c>
      <x:c r="J27" s="27" t="str">
        <x:v>FEETECH FS90-FB / Pololu 3436 if analog position feedback is specifically wanted; do not substitute FS90R continuous-rotation</x:v>
      </x:c>
      <x:c r="K27" s="32" t="str">
        <x:v>https://www.pololu.com/product/2818</x:v>
      </x:c>
      <x:c r="L27" s="32" t="str">
        <x:v>https://www.4project.co.il/product/feetech-fs90-servo-motor</x:v>
      </x:c>
    </x:row>
    <x:row r="28" ht="120" customHeight="1">
      <x:c r="A28" s="27" t="str">
        <x:v>M2</x:v>
      </x:c>
      <x:c r="B28" s="27" t="str">
        <x:v>motors</x:v>
      </x:c>
      <x:c r="C28" s="27" t="str">
        <x:v>Bench supply at 5.0 V + two 3-pin male 2.54 mm servo headers on core perfboard, short 22 AWG power wiring, WAGO 221 supply splices, separate GPIO signal leads and common ground; accessible supply output disable</x:v>
      </x:c>
      <x:c r="D28" s="27" t="str">
        <x:v>1 harness for the selected servo experiment</x:v>
      </x:c>
      <x:c r="E28" s="44" t="n">
        <x:v>0</x:v>
      </x:c>
      <x:c r="F28" s="46" t="str">
        <x:v>With M1 or M3, before powered testing</x:v>
      </x:c>
      <x:c r="G28" s="27" t="str">
        <x:v>Build a small labeled servo breakout from the core list, so the initial pair has a complete connection without adding a second controller.</x:v>
      </x:c>
      <x:c r="H28" s="27" t="str">
        <x:v>USB powers UNO; bench supply powers servo rail. Verify each FS90 connector signal/power/ground against its documentation. Do not join external servo +5 V to UNO +5 V. Check solder joints, polarity and continuity before power; start with one unloaded servo and current limiting matched to wiring and motor. Supply output disable must be reachable. A larger/mobile robot needs separately specified DC cutoff, protection and distribution; OpenRB actuator path is limited to 3 A.</x:v>
      </x:c>
      <x:c r="I28" s="27" t="str">
        <x:v>Uses core supply, perfboard, headers, wire and terminals; no additional supply purchase. Extra assembled harness or future cutoff/fuse: quote when specified.</x:v>
      </x:c>
      <x:c r="J28" s="27" t="str">
        <x:v>Documented regulated 5 V supply with sufficient peak current, if bench supply is occupied</x:v>
      </x:c>
      <x:c r="K28" s="32" t="str">
        <x:v>https://learn.sparkfun.com/tutorials/hobby-servo-tutorial/troubleshooting</x:v>
      </x:c>
      <x:c r="L28" s="32" t="str">
        <x:v>https://emanual.robotis.com/docs/en/parts/controller/openrb-150/
https://www.adafruit.com/product/392
https://www.adafruit.com/product/571
https://www.wago.com/gb/installation-terminal-blocks-and-connectors/splicing-connector-with-levers/p/221-412</x:v>
      </x:c>
    </x:row>
    <x:row r="29" ht="90" customHeight="1">
      <x:c r="A29" s="27" t="str">
        <x:v>M3</x:v>
      </x:c>
      <x:c r="B29" s="27" t="str">
        <x:v>motors</x:v>
      </x:c>
      <x:c r="C29" s="27" t="str">
        <x:v>ROBOTIS OpenRB-150 Tutorial Kit: one OpenRB-150 plus XL330-M288-T, TTL cable and listed screws; optional second identical XL330 after the first joint works</x:v>
      </x:c>
      <x:c r="D29" s="27" t="str">
        <x:v>1 kit; optionally 1 additional XL330, not 8–12 motors upfront</x:v>
      </x:c>
      <x:c r="E29" s="44" t="n">
        <x:v>0</x:v>
      </x:c>
      <x:c r="F29" s="46" t="str">
        <x:v>First robotics leg stage; optional now, not required alongside M1</x:v>
      </x:c>
      <x:c r="G29" s="27" t="str">
        <x:v>Provides documented position/current/temperature/voltage feedback and integrated controller/bus tools for one or two test joints</x:v>
      </x:c>
      <x:c r="H29" s="27" t="str">
        <x:v>XL330 recommended supply 5 V, permitted 3.7–6 V. OpenRB GPIO 3.3 V; TTL DYNAMIXEL interface is built in, no PCA9685 or generic USB-UART required. External power for loaded movement. Controller accepts higher VIN but XL330 does not: never supply the trial at 12 V. Robot mass, link lengths, gait and torque/speed need validation before selecting a whole walker or jumping actuators</x:v>
      </x:c>
      <x:c r="I29" s="27" t="str">
        <x:v>ROBOSAVVY Tutorial Kit listing £41.20 / £34.33 displayed tax-inclusive/exclusive; no confirmed Israel shipping or landed quote. This current Tutorial listing differs from older Starter bundle listing. Checked 2026-09-29</x:v>
      </x:c>
      <x:c r="J29" s="27" t="str">
        <x:v>M1 PWM servo for simple motion; choose this smart ecosystem when feedback/control experiments matter</x:v>
      </x:c>
      <x:c r="K29" s="32" t="str">
        <x:v>https://en.robotis.com/shop_en/item.php?it_id=902-0184-000</x:v>
      </x:c>
      <x:c r="L29" s="32" t="str">
        <x:v>https://robosavvy.co.uk/robotis-openrb-150-tutorial-kit.html</x:v>
      </x:c>
    </x:row>
    <x:row r="30" ht="88" customHeight="1">
      <x:c r="A30" s="27" t="str">
        <x:v>M4</x:v>
      </x:c>
      <x:c r="B30" s="27" t="str">
        <x:v>motors</x:v>
      </x:c>
      <x:c r="C30" s="27" t="str">
        <x:v>For M3: XL330-compatible HNX330-N102 horn or HNX330-N101 metal horn, exact frame/horn screws, supplied X3P cable, printed fit coupon and clamped one-leg fixture</x:v>
      </x:c>
      <x:c r="D30" s="27" t="str">
        <x:v>1 horn per joint; inspect kit contents before duplicates; 1 reusable fixture</x:v>
      </x:c>
      <x:c r="E30" s="44" t="n">
        <x:v>0</x:v>
      </x:c>
      <x:c r="F30" s="46" t="str">
        <x:v>Only with M3; build fixture before loaded testing</x:v>
      </x:c>
      <x:c r="G30" s="27" t="str">
        <x:v>A servo, cable and code still need a mechanically matched coupling and stable mount</x:v>
      </x:c>
      <x:c r="H30" s="27" t="str">
        <x:v>HNX330 is specific to XL330/XC330; the kit lists horn screws but do not assume the chosen horn is included. Use specified thread/length. Test fixture dimensions follow link geometry and load; no full quadruped frame or high-load bearing assortment purchased yet</x:v>
      </x:c>
      <x:c r="I30" s="27" t="str">
        <x:v>Horn and any missing screws quote required; fixture uses core stock/clamps; no verified current local price</x:v>
      </x:c>
      <x:c r="J30" s="27" t="str">
        <x:v>Use the FS90 supplied horn for M1; separate pivot needs its own matched bearing/bushing, shaft and retention</x:v>
      </x:c>
      <x:c r="K30" s="32" t="str">
        <x:v>https://robotis.us/products/hnx330-n102-5pcs</x:v>
      </x:c>
      <x:c r="L30" s="32" t="str">
        <x:v>https://robotis.us/products/hnx330-n101-set</x:v>
      </x:c>
    </x:row>
    <x:row r="31" ht="88" customHeight="1">
      <x:c r="A31" s="27" t="str">
        <x:v>M5</x:v>
      </x:c>
      <x:c r="B31" s="27" t="str">
        <x:v>motors</x:v>
      </x:c>
      <x:c r="C31" s="27" t="str">
        <x:v>Pololu 5108: 50:1 Micro Metal Gearmotor LP 6 V, 12 CPR encoder with back connector</x:v>
      </x:c>
      <x:c r="D31" s="27" t="str">
        <x:v>1 for a bench control experiment; 2 only for a differential-drive project</x:v>
      </x:c>
      <x:c r="E31" s="44" t="n">
        <x:v>0</x:v>
      </x:c>
      <x:c r="F31" s="46" t="str">
        <x:v>Optional second motion family, not required for servo walker</x:v>
      </x:c>
      <x:c r="G31" s="27" t="str">
        <x:v>A coherent small motor for learning speed/position feedback or making a small wheeled mechanism</x:v>
      </x:c>
      <x:c r="H31" s="27" t="str">
        <x:v>6 V motor, extrapolated stall current 0.36 A, 3 mm D shaft; matches M6 driver current class. Encoder counts are on the motor shaft, not gearbox output. Torque/speed are not validated for unknown vehicle mass. Include M7 cable/mount/coupling; avoid holding at stall</x:v>
      </x:c>
      <x:c r="I31" s="27" t="str">
        <x:v>US$29.95 each from Pololu, excluding delivery/tax; listing permits backorders, live stock not confirmed; checked 2026-09-29</x:v>
      </x:c>
      <x:c r="J31" s="27" t="str">
        <x:v>Select a different documented ratio after required shaft speed and load are known</x:v>
      </x:c>
      <x:c r="K31" s="32" t="str">
        <x:v>https://www.pololu.com/product/5108/specs</x:v>
      </x:c>
      <x:c r="L31" s="32" t="str">
        <x:v>https://www.pololu.com/product/5108</x:v>
      </x:c>
    </x:row>
    <x:row r="32" ht="90" customHeight="1">
      <x:c r="A32" s="27" t="str">
        <x:v>M6</x:v>
      </x:c>
      <x:c r="B32" s="27" t="str">
        <x:v>motors</x:v>
      </x:c>
      <x:c r="C32" s="27" t="str">
        <x:v>Genuine Pololu DRV8833 Dual Motor Driver Carrier 2130 / 4project POL-2130</x:v>
      </x:c>
      <x:c r="D32" s="27" t="str">
        <x:v>1 board handles one or two M5 motors</x:v>
      </x:c>
      <x:c r="E32" s="44" t="n">
        <x:v>0</x:v>
      </x:c>
      <x:c r="F32" s="46" t="str">
        <x:v>Only with M5</x:v>
      </x:c>
      <x:c r="G32" s="27" t="str">
        <x:v>Allows reversible PWM motor drive with a documented small-motor power stage</x:v>
      </x:c>
      <x:c r="H32" s="27" t="str">
        <x:v>2.7–10.8 V motor supply; use 6 V with M5. Manufacturer carrier rating about 1.2 A continuous per channel, 2 A short peak; 3 V/5 V control inputs accepted. Board current regulation is disabled by default; protection is not a substitute for selected current limits. Solder included headers or direct leads; share logic ground</x:v>
      </x:c>
      <x:c r="I32" s="27" t="str">
        <x:v>₪55.60 incl VAT at 4project; Pololu US$10.95 listing currently shows Backorder; check local stock. Checked 2026-09-29</x:v>
      </x:c>
      <x:c r="J32" s="27" t="str">
        <x:v>Skip entirely if only servos are selected; servo motors already contain their own drive electronics</x:v>
      </x:c>
      <x:c r="K32" s="32" t="str">
        <x:v>https://www.pololu.com/product/2130</x:v>
      </x:c>
      <x:c r="L32" s="32" t="str">
        <x:v>https://www.4project.co.il/product/1502</x:v>
      </x:c>
    </x:row>
    <x:row r="33" ht="90" customHeight="1">
      <x:c r="A33" s="27" t="str">
        <x:v>M7</x:v>
      </x:c>
      <x:c r="B33" s="27" t="str">
        <x:v>motors</x:v>
      </x:c>
      <x:c r="C33" s="27" t="str">
        <x:v>Pololu 4763 encoder cable (6-pin, single-ended, 30 cm), 989 Micro Metal Gearmotor Bracket Pair, and 1996 3 mm-shaft hubs with M3 holes if using printed mechanisms</x:v>
      </x:c>
      <x:c r="D33" s="27" t="str">
        <x:v>1 cable per motor; 1 bracket pair and 1 hub pair suffice for up to 2 motors</x:v>
      </x:c>
      <x:c r="E33" s="44" t="n">
        <x:v>0</x:v>
      </x:c>
      <x:c r="F33" s="46" t="str">
        <x:v>Only with M5; order together</x:v>
      </x:c>
      <x:c r="G33" s="27" t="str">
        <x:v>Completes the power/encoder connection and mechanical mounting that a bare motor listing omits</x:v>
      </x:c>
      <x:c r="H33" s="27" t="str">
        <x:v>Cable 4763 is specifically color-coded for motor encoders; verify pinout regardless of color. Encoder supply should match controller logic (5 V for UNO R4) with common ground; motor power routes through driver. 1996 includes shaft set screws and 1.5 mm hex key, but printed-part M3 attachment screws are separate</x:v>
      </x:c>
      <x:c r="I33" s="27" t="str">
        <x:v>1996 hub pair US$9.95 observed; cable/bracket quote required. All shipping/taxes additional; checked 2026-09-29</x:v>
      </x:c>
      <x:c r="J33" s="27" t="str">
        <x:v>Matching Pololu 3 mm D-shaft wheels replace hubs when using ready-made wheels; do not buy both unnecessarily</x:v>
      </x:c>
      <x:c r="K33" s="32" t="str">
        <x:v>https://www.pololu.com/product/4763</x:v>
      </x:c>
      <x:c r="L33" s="32" t="str">
        <x:v>https://www.pololu.com/product/1996
https://www.pololu.com/product/989</x:v>
      </x:c>
    </x:row>
    <x:row r="34" ht="90" customHeight="1">
      <x:c r="A34" s="27" t="str">
        <x:v>M8</x:v>
      </x:c>
      <x:c r="B34" s="27" t="str">
        <x:v>motors</x:v>
      </x:c>
      <x:c r="C34" s="27" t="str">
        <x:v>For a defined small positioning mechanism: Pololu 1207 NEMA 14 stepper plus Tic T500 controller 3134, NEMA 14 bracket 2257, matching 5 mm hub 1998, micro-USB data cable and wired 12 V bench input</x:v>
      </x:c>
      <x:c r="D34" s="27" t="str">
        <x:v>One matched package only when a stepper project is chosen</x:v>
      </x:c>
      <x:c r="E34" s="44" t="n">
        <x:v>0</x:v>
      </x:c>
      <x:c r="F34" s="46" t="str">
        <x:v>Later; not part of the first servo basket</x:v>
      </x:c>
      <x:c r="G34" s="27" t="str">
        <x:v>Tic provides USB configuration and assembled terminals for a reproducible position-control experiment; avoids buying motors/drivers of every type now</x:v>
      </x:c>
      <x:c r="H34" s="27" t="str">
        <x:v>Motor 1207 is rated 0.28 A per phase: set controller current at or below this, even with 12 V supply. Driver regulates phase current; 7.4 V winding rating is not an instruction to wire it directly to 12 V. Configure acceleration/speed and homing/limit switch as project requires. Verify mounting load before use; no general guarantee for a robot leg</x:v>
      </x:c>
      <x:c r="I34" s="27" t="str">
        <x:v>Motor US$30.32 + assembled Tic US$34.95 = US$65.27 before bracket, hub, cable, shipping/tax. No full-package quote. Checked 2026-09-29</x:v>
      </x:c>
      <x:c r="J34" s="27" t="str">
        <x:v>Lower-cost DRV8825 carrier 2133 with MCU STEP/DIR, correctly adjusted phase current and at least 47 µF local VMOT electrolytic; more setup responsibility</x:v>
      </x:c>
      <x:c r="K34" s="32" t="str">
        <x:v>https://www.pololu.com/product/1207</x:v>
      </x:c>
      <x:c r="L34" s="32" t="str">
        <x:v>https://www.pololu.com/product/3134
https://www.pololu.com/product/2257
https://www.pololu.com/product/1998
https://www.pololu.com/product/2133</x:v>
      </x:c>
    </x:row>
    <x:row r="35" ht="105" customHeight="1">
      <x:c r="A35" s="27" t="str">
        <x:v>S1</x:v>
      </x:c>
      <x:c r="B35" s="27" t="str">
        <x:v>sensors</x:v>
      </x:c>
      <x:c r="C35" s="27" t="str">
        <x:v>Adafruit VL53L1X STEMMA QT breakout #3967</x:v>
      </x:c>
      <x:c r="D35" s="27" t="str">
        <x:v>1</x:v>
      </x:c>
      <x:c r="E35" s="44" t="n">
        <x:v>0</x:v>
      </x:c>
      <x:c r="F35" s="46" t="str">
        <x:v>Alternative only — already covered by selected B1 kit</x:v>
      </x:c>
      <x:c r="G35" s="27" t="str">
        <x:v>Measures the gap in front of a mechanism or robot; supports approach/stop experiments and touchless gadgets.</x:v>
      </x:c>
      <x:c r="H35" s="27" t="str">
        <x:v>Use UNO R4 WiFi's 3.3 V Qwiic/Wire1 with JST-SH cable. Adafruit breakout includes regulation and level shifting for 3–5 V power/logic; this does not apply to bare VL53L1X chips or arbitrary cheap modules. API supports tof.begin(0x29, &amp;Wire1). One sensor first; multiple same-address sensors need shutdown/address management. Advertised range is not guaranteed on every target/lighting condition. Documentation checked; hardware not tested.</x:v>
      </x:c>
      <x:c r="I35" s="27" t="str">
        <x:v>US$14.95; shown in stock. Shipping, Israeli tax/import charges excluded.</x:v>
      </x:c>
      <x:c r="J35" s="27" t="str">
        <x:v>Use the Plug &amp; Make kit's Modulino Distance first if buying that kit; do not buy a duplicate range sensor initially.</x:v>
      </x:c>
      <x:c r="K35" s="32" t="str">
        <x:v>https://learn.adafruit.com/adafruit-vl53l1x/pinouts</x:v>
      </x:c>
      <x:c r="L35" s="32" t="str">
        <x:v>https://www.adafruit.com/product/3967
https://adafruit.github.io/Adafruit_VL53L1X/html/class_adafruit___v_l53_l1_x.html</x:v>
      </x:c>
    </x:row>
    <x:row r="36" ht="120" customHeight="1">
      <x:c r="A36" s="27" t="str">
        <x:v>S2</x:v>
      </x:c>
      <x:c r="B36" s="27" t="str">
        <x:v>sensors</x:v>
      </x:c>
      <x:c r="C36" s="27" t="str">
        <x:v>Adafruit ISM330DHCX 6-DoF IMU STEMMA QT breakout #4502</x:v>
      </x:c>
      <x:c r="D36" s="27" t="str">
        <x:v>1</x:v>
      </x:c>
      <x:c r="E36" s="44" t="n">
        <x:v>0</x:v>
      </x:c>
      <x:c r="F36" s="46" t="str">
        <x:v>Alternative only — already covered by selected B1 kit</x:v>
      </x:c>
      <x:c r="G36" s="27" t="str">
        <x:v>Records acceleration and angular velocity for tilt, falls, gait debugging and interactive motion controls.</x:v>
      </x:c>
      <x:c r="H36" s="27" t="str">
        <x:v>3–5 V regulated/level-shifted breakout; use 3.3 V Qwiic on Wire1. Adafruit LSM6DS library accepts imu.begin_I2C(0x6A, &amp;Wire1), using the class for the chosen chip. Six-axis IMU is not absolute yaw or position tracking. Calibrate bias and mount rigidly. BNO085 is not a universal plug-and-play substitute: Adafruit documents I2C issues with ESP32/ESP32-S3 and multiplexers; no unverified UNO R4 compatibility promise. Check transport/library separately if sensor fusion later motivates BNO085.</x:v>
      </x:c>
      <x:c r="I36" s="27" t="str">
        <x:v>US$19.95 recommended; shown in stock. US$11.95 alternative listing, direct out of stock. Shipping/tax/import extra.</x:v>
      </x:c>
      <x:c r="J36" s="27" t="str">
        <x:v>Adafruit LSM6DSOX breakout #4438 is adequate and cheaper at US$11.95; Adafruit direct is out of stock, so check authorized distributors. If Plug &amp; Make selected, begin with its Modulino Movement instead.</x:v>
      </x:c>
      <x:c r="K36" s="32" t="str">
        <x:v>https://learn.adafruit.com/lsm6dsox-and-ism330dhc-6-dof-imu/pinouts</x:v>
      </x:c>
      <x:c r="L36" s="32" t="str">
        <x:v>https://www.adafruit.com/product/4502
https://www.adafruit.com/product/4438
https://adafruit.github.io/Adafruit_LSM6DS/html/class_adafruit___l_s_m6_d_s.html
https://learn.adafruit.com/adafruit-9-dof-orientation-imu-fusion-breakout-bno085</x:v>
      </x:c>
    </x:row>
    <x:row r="37" ht="88" customHeight="1">
      <x:c r="A37" s="27" t="str">
        <x:v>S3</x:v>
      </x:c>
      <x:c r="B37" s="27" t="str">
        <x:v>sensors</x:v>
      </x:c>
      <x:c r="C37" s="27" t="str">
        <x:v>Adafruit Sensirion SHT40 STEMMA QT breakout #4885</x:v>
      </x:c>
      <x:c r="D37" s="27" t="str">
        <x:v>1</x:v>
      </x:c>
      <x:c r="E37" s="44" t="n">
        <x:v>0</x:v>
      </x:c>
      <x:c r="F37" s="46" t="str">
        <x:v>Alternative only — already covered by selected B1 kit</x:v>
      </x:c>
      <x:c r="G37" s="27" t="str">
        <x:v>Enables room/box monitoring, a filament-storage monitor and sensor-logging practice with one inexpensive module.</x:v>
      </x:c>
      <x:c r="H37" s="27" t="str">
        <x:v>Specific Adafruit breakout has regulation/3–5 V level shifting; use UNO R4 3.3 V Qwiic/Wire1. Fixed I2C address 0x44; sht4.begin(&amp;Wire1) supported. Not a waterproof probe or a direct hotend temperature sensor. Place away from local heat sources for representative ambient readings.</x:v>
      </x:c>
      <x:c r="I37" s="27" t="str">
        <x:v>US$5.95; shown in stock. Shipping/tax/import extra.</x:v>
      </x:c>
      <x:c r="J37" s="27" t="str">
        <x:v>Use Modulino Thermo if buying Plug &amp; Make; do not also buy SHT40 for the same first experiments.</x:v>
      </x:c>
      <x:c r="K37" s="32" t="str">
        <x:v>https://learn.adafruit.com/adafruit-sht40-temperature-humidity-sensor/pinouts</x:v>
      </x:c>
      <x:c r="L37" s="32" t="str">
        <x:v>https://www.adafruit.com/product/4885
https://github.com/adafruit/Adafruit_SHT4X/blob/master/Adafruit_SHT4x.h</x:v>
      </x:c>
    </x:row>
    <x:row r="38" ht="105" customHeight="1">
      <x:c r="A38" s="27" t="str">
        <x:v>S4</x:v>
      </x:c>
      <x:c r="B38" s="27" t="str">
        <x:v>sensors</x:v>
      </x:c>
      <x:c r="C38" s="27" t="str">
        <x:v>2 x Adafruit Micro Switch with Lever, two-terminal #818</x:v>
      </x:c>
      <x:c r="D38" s="27" t="str">
        <x:v>2</x:v>
      </x:c>
      <x:c r="E38" s="44" t="n">
        <x:v>0</x:v>
      </x:c>
      <x:c r="F38" s="46" t="str">
        <x:v>Optional useful add-on — first contact or endstop mechanism</x:v>
      </x:c>
      <x:c r="G38" s="27" t="str">
        <x:v>Detects a bumper press or a reached end position; a different capability from a desk pushbutton.</x:v>
      </x:c>
      <x:c r="H38" s="27" t="str">
        <x:v>Normally-open dry contact wired between a digital input and ground using that controller's pull-up. Debounce in software. No Qwiic cable; solder or use matching terminals and strain relief. Adafruit recommends &lt;=30 VDC/250 mA, but intended here as a logic input, never as a motor-current cutoff. It is not a safety-rated endstop. Existing KIT-27842 pushbuttons do not replace the lever geometry.</x:v>
      </x:c>
      <x:c r="I38" s="27" t="str">
        <x:v>US$1.50 each; US$3.00 pair. Shown in stock; shipping/tax/import extra.</x:v>
      </x:c>
      <x:c r="J38" s="27" t="str">
        <x:v>Use a three-terminal roller-lever switch when the mechanism needs a roller or normally-closed contact; choose dimensions after the mechanism is defined.</x:v>
      </x:c>
      <x:c r="K38" s="32" t="str">
        <x:v>https://www.adafruit.com/product/818</x:v>
      </x:c>
      <x:c r="L38" s="32" t="str">
        <x:v>https://www.adafruit.com/product/818</x:v>
      </x:c>
    </x:row>
    <x:row r="39" ht="88" customHeight="1">
      <x:c r="A39" s="27" t="str">
        <x:v>S5</x:v>
      </x:c>
      <x:c r="B39" s="27" t="str">
        <x:v>sensors</x:v>
      </x:c>
      <x:c r="C39" s="27" t="str">
        <x:v>Adafruit VEML7700 STEMMA QT breakout #4162</x:v>
      </x:c>
      <x:c r="D39" s="27" t="str">
        <x:v>1</x:v>
      </x:c>
      <x:c r="E39" s="44" t="n">
        <x:v>0</x:v>
      </x:c>
      <x:c r="F39" s="46" t="str">
        <x:v>Optional—lighting or automatic brightness project</x:v>
      </x:c>
      <x:c r="G39" s="27" t="str">
        <x:v>Supports automatic display brightness and logs changing illumination during a robot vision experiment.</x:v>
      </x:c>
      <x:c r="H39" s="27" t="str">
        <x:v>Use 3.3 V Qwiic/Wire1; vendor breakout supports 3.3/5 V host use. veml.begin(&amp;Wire1) supported. Fixed address 0x10; no color recognition or object recognition. Lux readings depend on placement and configuration, so it does not replace the camera.</x:v>
      </x:c>
      <x:c r="I39" s="27" t="str">
        <x:v>US$4.95; shown in stock. Shipping/tax/import extra.</x:v>
      </x:c>
      <x:c r="J39" s="27" t="str">
        <x:v>Use the photocell already included in KIT-27842 for simple bright/dark experiments; buy VEML7700 when repeatable lux readings or a digital interface matter.</x:v>
      </x:c>
      <x:c r="K39" s="32" t="str">
        <x:v>https://learn.adafruit.com/adafruit-veml7700/pinouts</x:v>
      </x:c>
      <x:c r="L39" s="32" t="str">
        <x:v>https://www.adafruit.com/product/4162
https://adafruit.github.io/Adafruit_VEML7700/html/class_adafruit___v_e_m_l7700.html</x:v>
      </x:c>
    </x:row>
    <x:row r="40" ht="120" customHeight="1">
      <x:c r="A40" s="27" t="str">
        <x:v>S6</x:v>
      </x:c>
      <x:c r="B40" s="27" t="str">
        <x:v>sensors</x:v>
      </x:c>
      <x:c r="C40" s="27" t="str">
        <x:v>Adafruit 0.96-inch 128x64 SSD1306 OLED with STEMMA QT #326</x:v>
      </x:c>
      <x:c r="D40" s="27" t="str">
        <x:v>1</x:v>
      </x:c>
      <x:c r="E40" s="44" t="n">
        <x:v>0</x:v>
      </x:c>
      <x:c r="F40" s="46" t="str">
        <x:v>Optional—first standalone gadget</x:v>
      </x:c>
      <x:c r="G40" s="27" t="str">
        <x:v>Shows measurements, mode and faults without opening a laptop terminal.</x:v>
      </x:c>
      <x:c r="H40" s="27" t="str">
        <x:v>This exact breakout supports 3/5 V hosts, default I2C, auto-reset and JST-SH. On R4 Qwiic use Adafruit_SSD1306 display(128,64,&amp;Wire1,-1); scanner verifies device address (normally 0x3C). Not every generic SSD1306 module has the same voltage handling, connector or controller. Ensure display is the purchased QT revision. With the selected kit, Modulino Buzzer also defaults to 0x3C: change its supported address or configure display to a supported different address before sharing the bus.</x:v>
      </x:c>
      <x:c r="I40" s="27" t="str">
        <x:v>US$17.50; shown in stock. Shipping/tax/import extra.</x:v>
      </x:c>
      <x:c r="J40" s="27" t="str">
        <x:v>Start with USB serial output and the UNO R4 WiFi's built-in LED matrix; add this when an enclosure or untethered gadget needs text/numbers.</x:v>
      </x:c>
      <x:c r="K40" s="32" t="str">
        <x:v>https://learn.adafruit.com/monochrome-oled-breakouts</x:v>
      </x:c>
      <x:c r="L40" s="32" t="str">
        <x:v>https://www.adafruit.com/product/326
https://adafruit.github.io/Adafruit_SSD1306/html/class_adafruit___s_s_d1306.html</x:v>
      </x:c>
    </x:row>
    <x:row r="41" ht="90" customHeight="1">
      <x:c r="A41" s="27" t="str">
        <x:v>S7</x:v>
      </x:c>
      <x:c r="B41" s="27" t="str">
        <x:v>sensors</x:v>
      </x:c>
      <x:c r="C41" s="27" t="str">
        <x:v>4 x Adafruit #4210 STEMMA QT / Qwiic JST-SH four-pin 100 mm cables</x:v>
      </x:c>
      <x:c r="D41" s="27" t="str">
        <x:v>4</x:v>
      </x:c>
      <x:c r="E41" s="44" t="n">
        <x:v>0</x:v>
      </x:c>
      <x:c r="F41" s="46" t="str">
        <x:v>Alternative only — already covered by selected B1 kit</x:v>
      </x:c>
      <x:c r="G41" s="27" t="str">
        <x:v>Connects the three core sensors and leaves one spare; cables are not generally included with the breakouts.</x:v>
      </x:c>
      <x:c r="H41" s="27" t="str">
        <x:v>JST-SH 1.0 mm pitch, four pins, Qwiic wiring: black ground, red 3.3 V, blue SDA, yellow SCL. Not JST-PH 2 mm, XH 2.5 mm, 3-pin STEMMA, or ESLOV. R4 Qwiic is Wire1/3.3 V; do not inject 5 V into it. Keep I2C leads short, watch total bus loading as more modules are added. Nano ESP32 lacks native Qwiic: add an appropriate QT-to-header lead wired to 3.3 V if moving to that board.</x:v>
      </x:c>
      <x:c r="I41" s="27" t="str">
        <x:v>US$0.95 each; US$3.80 for four. #4401 200 mm variant US$1.25. Shipping/tax/import extra.</x:v>
      </x:c>
      <x:c r="J41" s="27" t="str">
        <x:v>Adafruit #4401 200 mm cable for a sensor position that needs the extra reach; if Plug &amp; Make kit selected use included cables before buying extras.</x:v>
      </x:c>
      <x:c r="K41" s="32" t="str">
        <x:v>https://www.adafruit.com/product/4210</x:v>
      </x:c>
      <x:c r="L41" s="32" t="str">
        <x:v>https://www.adafruit.com/product/4210
https://www.adafruit.com/product/4401</x:v>
      </x:c>
    </x:row>
    <x:row r="42" ht="88" customHeight="1">
      <x:c r="A42" s="27" t="str">
        <x:v>S8</x:v>
      </x:c>
      <x:c r="B42" s="27" t="str">
        <x:v>sensors</x:v>
      </x:c>
      <x:c r="C42" s="27" t="str">
        <x:v>Adafruit PS1240 passive piezo buzzer #160, with a 1 kΩ series resistor from the existing resistor kit for the initial GPIO experiment</x:v>
      </x:c>
      <x:c r="D42" s="27" t="str">
        <x:v>1</x:v>
      </x:c>
      <x:c r="E42" s="44" t="n">
        <x:v>0</x:v>
      </x:c>
      <x:c r="F42" s="46" t="str">
        <x:v>Alternative only — already covered by selected B1 kit</x:v>
      </x:c>
      <x:c r="G42" s="27" t="str">
        <x:v>Beep on a completed action or fault while watching the mechanism instead of a screen.</x:v>
      </x:c>
      <x:c r="H42" s="27" t="str">
        <x:v>Passive piezo requires tone/square-wave drive, unlike an active DC buzzer. Vendor supports microcontroller drive; start with modest volume and a series resistor, within controller pin limits. Not an I2C or Qwiic component. Uses existing wire/resistor supply; no duplicate controller/buttons/LED kit.</x:v>
      </x:c>
      <x:c r="I42" s="27" t="str">
        <x:v>US$1.50; shown in stock. Shipping/tax/import extra.</x:v>
      </x:c>
      <x:c r="J42" s="27" t="str">
        <x:v>Use Modulino Buzzer if Plug &amp; Make selected; do not buy both initially. A louder dedicated piezo driver is a later requirement.</x:v>
      </x:c>
      <x:c r="K42" s="32" t="str">
        <x:v>https://www.adafruit.com/product/160</x:v>
      </x:c>
      <x:c r="L42" s="32" t="str">
        <x:v>https://www.adafruit.com/product/160</x:v>
      </x:c>
    </x:row>
    <x:row r="43">
      <x:c r="A43" s="25"/>
      <x:c r="B43" s="25"/>
      <x:c r="C43" s="25"/>
      <x:c r="D43" s="25"/>
      <x:c r="E43" s="25"/>
      <x:c r="F43" s="25"/>
      <x:c r="G43" s="25"/>
      <x:c r="H43" s="25"/>
      <x:c r="I43" s="25"/>
      <x:c r="J43" s="25"/>
      <x:c r="K43" s="25"/>
      <x:c r="L43" s="25"/>
    </x:row>
    <x:row r="44">
      <x:c r="A44" s="25"/>
      <x:c r="B44" s="25"/>
      <x:c r="C44" s="25"/>
      <x:c r="D44" s="25"/>
      <x:c r="E44" s="25"/>
      <x:c r="F44" s="25"/>
      <x:c r="G44" s="25"/>
      <x:c r="H44" s="25"/>
      <x:c r="I44" s="25"/>
      <x:c r="J44" s="25"/>
      <x:c r="K44" s="25"/>
      <x:c r="L44" s="25"/>
    </x:row>
    <x:row r="45">
      <x:c r="A45" s="25"/>
      <x:c r="B45" s="25"/>
      <x:c r="C45" s="25"/>
      <x:c r="D45" s="25"/>
      <x:c r="E45" s="25"/>
      <x:c r="F45" s="25"/>
      <x:c r="G45" s="25"/>
      <x:c r="H45" s="25"/>
      <x:c r="I45" s="25"/>
      <x:c r="J45" s="25"/>
      <x:c r="K45" s="25"/>
      <x:c r="L45" s="25"/>
    </x:row>
    <x:row r="46">
      <x:c r="A46" s="25"/>
      <x:c r="B46" s="25"/>
      <x:c r="C46" s="25"/>
      <x:c r="D46" s="25"/>
      <x:c r="E46" s="25"/>
      <x:c r="F46" s="25"/>
      <x:c r="G46" s="25"/>
      <x:c r="H46" s="25"/>
      <x:c r="I46" s="25"/>
      <x:c r="J46" s="25"/>
      <x:c r="K46" s="25"/>
      <x:c r="L46" s="25"/>
    </x:row>
    <x:row r="47">
      <x:c r="A47" s="25"/>
      <x:c r="B47" s="25"/>
      <x:c r="C47" s="25"/>
      <x:c r="D47" s="25"/>
      <x:c r="E47" s="25"/>
      <x:c r="F47" s="25"/>
      <x:c r="G47" s="25"/>
      <x:c r="H47" s="25"/>
      <x:c r="I47" s="25"/>
      <x:c r="J47" s="25"/>
      <x:c r="K47" s="25"/>
      <x:c r="L47" s="25"/>
    </x:row>
    <x:row r="48">
      <x:c r="A48" s="25"/>
      <x:c r="B48" s="25"/>
      <x:c r="C48" s="25"/>
      <x:c r="D48" s="25"/>
      <x:c r="E48" s="25"/>
      <x:c r="F48" s="25"/>
      <x:c r="G48" s="25"/>
      <x:c r="H48" s="25"/>
      <x:c r="I48" s="25"/>
      <x:c r="J48" s="25"/>
      <x:c r="K48" s="25"/>
      <x:c r="L48" s="25"/>
    </x:row>
    <x:row r="49">
      <x:c r="A49" s="25"/>
      <x:c r="B49" s="25"/>
      <x:c r="C49" s="25"/>
      <x:c r="D49" s="25"/>
      <x:c r="E49" s="25"/>
      <x:c r="F49" s="25"/>
      <x:c r="G49" s="25"/>
      <x:c r="H49" s="25"/>
      <x:c r="I49" s="25"/>
      <x:c r="J49" s="25"/>
      <x:c r="K49" s="25"/>
      <x:c r="L49" s="25"/>
    </x:row>
    <x:row r="50">
      <x:c r="A50" s="25"/>
      <x:c r="B50" s="25"/>
      <x:c r="C50" s="25"/>
      <x:c r="D50" s="25"/>
      <x:c r="E50" s="25"/>
      <x:c r="F50" s="25"/>
      <x:c r="G50" s="25"/>
      <x:c r="H50" s="25"/>
      <x:c r="I50" s="25"/>
      <x:c r="J50" s="25"/>
      <x:c r="K50" s="25"/>
      <x:c r="L50" s="25"/>
    </x:row>
  </x:sheetData>
  <x:dataValidations count="1">
    <x:dataValidation type="whole" operator="between" sqref="E24:E42">
      <x:formula1>0</x:formula1>
      <x:formula2>100</x:formula2>
    </x:dataValidation>
  </x:dataValidations>
  <x:pageMargins left="0.7" right="0.7" top="0.75" bottom="0.75" header="0.3" footer="0.3"/>
  <x:tableParts count="1">
    <x:tablePart xmlns:r="http://schemas.openxmlformats.org/officeDocument/2006/relationships" r:id="Rc855e4dea40e45a5"/>
  </x:tableParts>
</x:worksheet>
</file>

<file path=xl/worksheets/sheet6.xml><?xml version="1.0" encoding="utf-8"?>
<x:worksheet xmlns:x="http://schemas.openxmlformats.org/spreadsheetml/2006/main">
  <x:sheetPr>
    <x:tabColor rgb="FF244A69"/>
  </x:sheetPr>
  <x:sheetViews>
    <x:sheetView showGridLines="0" workbookViewId="0">
      <x:pane xSplit="2" ySplit="8" topLeftCell="C9" activePane="bottomRight" state="frozen"/>
    </x:sheetView>
  </x:sheetViews>
  <x:sheetFormatPr defaultRowHeight="15"/>
  <x:cols>
    <x:col min="1" max="1" width="8" hidden="0" customWidth="1"/>
    <x:col min="2" max="2" width="30" hidden="0" customWidth="1"/>
    <x:col min="3" max="3" width="48" hidden="0" customWidth="1"/>
    <x:col min="4" max="4" width="48" hidden="0" customWidth="1"/>
    <x:col min="5" max="5" width="15" hidden="0" customWidth="1"/>
    <x:col min="6" max="6" width="66" hidden="0" customWidth="1"/>
    <x:col min="7" max="7" width="62" hidden="0" customWidth="1"/>
    <x:col min="8" max="8" width="62" hidden="0" customWidth="1"/>
    <x:col min="9" max="9" width="53" hidden="0" customWidth="1"/>
    <x:col min="10" max="10" width="28" hidden="0" customWidth="1"/>
    <x:col min="11" max="11" width="32" hidden="0" customWidth="1"/>
    <x:col min="12" max="12" width="16" hidden="0" customWidth="1"/>
    <x:col min="13" max="13" width="5" hidden="0" customWidth="1"/>
    <x:col min="14" max="14" width="75" hidden="0" customWidth="1"/>
    <x:col min="15" max="15" width="78" hidden="0" customWidth="1"/>
    <x:col min="16" max="16" width="85" hidden="0" customWidth="1"/>
  </x:cols>
  <x:sheetData>
    <x:row r="1">
      <x:c r="A1" s="25"/>
      <x:c r="B1" s="25"/>
      <x:c r="C1" s="25"/>
      <x:c r="D1" s="25"/>
      <x:c r="E1" s="25"/>
      <x:c r="F1" s="25"/>
      <x:c r="G1" s="25"/>
      <x:c r="H1" s="25"/>
      <x:c r="I1" s="25"/>
      <x:c r="J1" s="25"/>
      <x:c r="K1" s="25"/>
      <x:c r="L1" s="25"/>
      <x:c r="M1" s="25"/>
      <x:c r="N1" s="25"/>
      <x:c r="O1" s="25"/>
      <x:c r="P1" s="25"/>
    </x:row>
    <x:row r="2" ht="30" customHeight="1">
      <x:c r="A2" s="54" t="str">
        <x:v>Full item comparison</x:v>
      </x:c>
      <x:c r="B2" s="25"/>
      <x:c r="C2" s="25"/>
      <x:c r="D2" s="25"/>
      <x:c r="E2" s="25"/>
      <x:c r="F2" s="25"/>
      <x:c r="G2" s="25"/>
      <x:c r="H2" s="25"/>
      <x:c r="I2" s="25"/>
      <x:c r="J2" s="25"/>
      <x:c r="K2" s="25"/>
      <x:c r="L2" s="25"/>
      <x:c r="M2" s="25"/>
      <x:c r="N2" s="25"/>
      <x:c r="O2" s="25"/>
      <x:c r="P2" s="25"/>
    </x:row>
    <x:row r="3">
      <x:c r="A3" s="25" t="str">
        <x:v>115 entries: 66 core tools, 22 project decisions, 19 electronics details and 8 printer additions. Group summaries overlap components; do not sum them.</x:v>
      </x:c>
      <x:c r="B3" s="25"/>
      <x:c r="C3" s="25"/>
      <x:c r="D3" s="25"/>
      <x:c r="E3" s="25"/>
      <x:c r="F3" s="25"/>
      <x:c r="G3" s="25"/>
      <x:c r="H3" s="25"/>
      <x:c r="I3" s="25"/>
      <x:c r="J3" s="25"/>
      <x:c r="K3" s="25"/>
      <x:c r="L3" s="25"/>
      <x:c r="M3" s="25"/>
      <x:c r="N3" s="25"/>
      <x:c r="O3" s="25"/>
      <x:c r="P3" s="25"/>
    </x:row>
    <x:row r="4">
      <x:c r="A4" s="25" t="str">
        <x:v>P2S Combo selected by user on 29 Sep 2026. Previous suggestions remain for comparison; other latest choices are proposals, not purchases.</x:v>
      </x:c>
      <x:c r="B4" s="25"/>
      <x:c r="C4" s="25"/>
      <x:c r="D4" s="25"/>
      <x:c r="E4" s="25"/>
      <x:c r="F4" s="25"/>
      <x:c r="G4" s="25"/>
      <x:c r="H4" s="25"/>
      <x:c r="I4" s="25"/>
      <x:c r="J4" s="25"/>
      <x:c r="K4" s="25"/>
      <x:c r="L4" s="25"/>
      <x:c r="M4" s="25"/>
      <x:c r="N4" s="25"/>
      <x:c r="O4" s="25"/>
      <x:c r="P4" s="25"/>
    </x:row>
    <x:row r="5">
      <x:c r="A5" s="25" t="str">
        <x:v>Prices retain their currencies and tax basis. A quote or specification-only alternative is not a verified saving. Shipping/imports may change the ranking.</x:v>
      </x:c>
      <x:c r="B5" s="25"/>
      <x:c r="C5" s="25"/>
      <x:c r="D5" s="25"/>
      <x:c r="E5" s="25"/>
      <x:c r="F5" s="25"/>
      <x:c r="G5" s="25"/>
      <x:c r="H5" s="25"/>
      <x:c r="I5" s="25"/>
      <x:c r="J5" s="25"/>
      <x:c r="K5" s="25"/>
      <x:c r="L5" s="25"/>
      <x:c r="M5" s="25"/>
      <x:c r="N5" s="25"/>
      <x:c r="O5" s="25"/>
      <x:c r="P5" s="25"/>
    </x:row>
    <x:row r="6">
      <x:c r="A6" s="25" t="str">
        <x:v>Filter Decision to review changes. Compare = both remain candidates. Included = use the chosen kit contents. Reuse assumes a suitable item is actually available.</x:v>
      </x:c>
      <x:c r="B6" s="25"/>
      <x:c r="C6" s="25"/>
      <x:c r="D6" s="25"/>
      <x:c r="E6" s="25"/>
      <x:c r="F6" s="25"/>
      <x:c r="G6" s="25"/>
      <x:c r="H6" s="25"/>
      <x:c r="I6" s="25"/>
      <x:c r="J6" s="25"/>
      <x:c r="K6" s="25"/>
      <x:c r="L6" s="25"/>
      <x:c r="M6" s="25"/>
      <x:c r="N6" s="25"/>
      <x:c r="O6" s="25"/>
      <x:c r="P6" s="25"/>
    </x:row>
    <x:row r="7">
      <x:c r="A7" s="25" t="str">
        <x:v>Reviewed 29 Sep 2026. Printer route is now P2S + AMS 2 Pro. Current printer quantities are on Shopping list and the Start here checklist.</x:v>
      </x:c>
      <x:c r="B7" s="25"/>
      <x:c r="C7" s="25"/>
      <x:c r="D7" s="25"/>
      <x:c r="E7" s="25"/>
      <x:c r="F7" s="25"/>
      <x:c r="G7" s="25"/>
      <x:c r="H7" s="25"/>
      <x:c r="I7" s="25"/>
      <x:c r="J7" s="25"/>
      <x:c r="K7" s="25"/>
      <x:c r="L7" s="25"/>
      <x:c r="M7" s="25"/>
      <x:c r="N7" s="25"/>
      <x:c r="O7" s="25"/>
      <x:c r="P7" s="25"/>
    </x:row>
    <x:row r="8" ht="42" customHeight="1">
      <x:c r="A8" s="59" t="str">
        <x:v>ID</x:v>
      </x:c>
      <x:c r="B8" s="59" t="str">
        <x:v>Item</x:v>
      </x:c>
      <x:c r="C8" s="59" t="str">
        <x:v>Previous suggestion</x:v>
      </x:c>
      <x:c r="D8" s="59" t="str">
        <x:v>Latest value choice / option</x:v>
      </x:c>
      <x:c r="E8" s="59" t="str">
        <x:v>Decision</x:v>
      </x:c>
      <x:c r="F8" s="59" t="str">
        <x:v>Tradeoff and current recommendation</x:v>
      </x:c>
      <x:c r="G8" s="59" t="str">
        <x:v>Previous price / exclusions</x:v>
      </x:c>
      <x:c r="H8" s="59" t="str">
        <x:v>Latest price / exclusions</x:v>
      </x:c>
      <x:c r="I8" s="59" t="str">
        <x:v>Other previous suggestions</x:v>
      </x:c>
      <x:c r="J8" s="59" t="str">
        <x:v>Previous timing</x:v>
      </x:c>
      <x:c r="K8" s="59" t="str">
        <x:v>Quantity / purchase dependency</x:v>
      </x:c>
      <x:c r="L8" s="59" t="str">
        <x:v>Group</x:v>
      </x:c>
      <x:c r="M8" s="25"/>
      <x:c r="N8" s="62" t="str">
        <x:v>Previous main source</x:v>
      </x:c>
      <x:c r="O8" s="62" t="str">
        <x:v>Previous alternative / supporting sources</x:v>
      </x:c>
      <x:c r="P8" s="62" t="str">
        <x:v>Latest sources / evidence</x:v>
      </x:c>
    </x:row>
    <x:row r="9" ht="120" customHeight="1">
      <x:c r="A9" s="27" t="str">
        <x:v>1</x:v>
      </x:c>
      <x:c r="B9" s="27" t="str">
        <x:v>3D printer with filament management</x:v>
      </x:c>
      <x:c r="C9" s="27" t="str">
        <x:v>Bambu Lab P2S AMS 2 Pro Combo</x:v>
      </x:c>
      <x:c r="D9" s="27" t="str">
        <x:v>Selected: Bambu Lab P2S Combo with AMS 2 Pro</x:v>
      </x:c>
      <x:c r="E9" s="73" t="str">
        <x:v>Selected</x:v>
      </x:c>
      <x:c r="F9" s="27" t="str">
        <x:v>User selected enclosed P2S route. Included hardened 0.4 mm hotend, hardened extruder gears and textured PEI; use AMS 2 Pro drying first. A1 remains an unselected lower-cost comparison.</x:v>
      </x:c>
      <x:c r="G9" s="27" t="str">
        <x:v>BUG: ILS 3,890 standard consumer displayed price (Eilat price separately ILS 3,296.61), free shipping, promotion until 2026-10-01 or stock exhaustion; 1-year official importer warranty. Standalone 3DbotX: ILS 3,490 displayed; VAT treatment and delivery charges not explicitly established in extracted listing. Difference is product-price-only, not landed quote.</x:v>
      </x:c>
      <x:c r="H9" s="27" t="str">
        <x:v>Prior verified BUG quote: ILS 3,890, free shipping shown; offer until 1 Oct 2026 or stock exhaustion. Confirm checkout. Not a new purchase.</x:v>
      </x:c>
      <x:c r="I9" s="27" t="str">
        <x:v>Earlier value proposal: Bambu A1 without AMS, ILS 1,299. Earlier premium alternative: P2S standalone ILS 3,490. Neither is selected.</x:v>
      </x:c>
      <x:c r="J9" s="27" t="str">
        <x:v>Buy first</x:v>
      </x:c>
      <x:c r="K9" s="27" t="str">
        <x:v>1 Combo, not yet owned</x:v>
      </x:c>
      <x:c r="L9" s="27" t="str">
        <x:v>printing</x:v>
      </x:c>
      <x:c r="M9" s="25"/>
      <x:c r="N9" s="64" t="str">
        <x:v>https://www.bug.co.il/brand/bambulab/p2s/ams2/pro/combo</x:v>
      </x:c>
      <x:c r="O9" s="64" t="str">
        <x:v>https://www.3dbotx.co.il/product-page/bambu-lab-p2s</x:v>
      </x:c>
      <x:c r="P9" s="64" t="str">
        <x:v>https://csm.bblcdn.com/hub/9425242c00344b0e801b6179f9a243aa.pdf
https://bambu-lab-jp.myshopify.com/en/products/ams-2-pro
https://www.bug.co.il/brand/bambulab/p2s/ams2/pro/combo</x:v>
      </x:c>
    </x:row>
    <x:row r="10" ht="84" customHeight="1">
      <x:c r="A10" s="27" t="str">
        <x:v>2</x:v>
      </x:c>
      <x:c r="B10" s="27" t="str">
        <x:v>PLA filament, 2 kg</x:v>
      </x:c>
      <x:c r="C10" s="27" t="str">
        <x:v>Bambu PLA Basic 1.75 mm, two 1 kg spools (plain light/neutral colors; spool-included)</x:v>
      </x:c>
      <x:c r="D10" s="27" t="str">
        <x:v>2 × 1 kg PLA: Basic light grey + contrasting Basic or Matte</x:v>
      </x:c>
      <x:c r="E10" s="65" t="str">
        <x:v>Keep</x:v>
      </x:c>
      <x:c r="F10" s="27" t="str">
        <x:v>Two starter spools. Bambu profiles/RFID are convenient; Creality Hyper PLA remains the researched value-brand option. Check spool compatibility with AMS 2 Pro.</x:v>
      </x:c>
      <x:c r="G10" s="27" t="str">
        <x:v>Bambu PLA Basic observed ILS 109 per 1 kg, two units ILS 218; free pickup shown, delivery charges not verified; separate Eilat price shown. Creality Hyper PLA listing ILS 99 per 1 kg, delivery/VAT detail unverified.</x:v>
      </x:c>
      <x:c r="H10" s="27" t="str">
        <x:v>Retain ILS 100/kg planning allowance. Prior quotes: Bambu Basic ILS 109/kg; Creality Hyper PLA ILS 99/kg. Selected colors/Matte price unquoted.</x:v>
      </x:c>
      <x:c r="I10" s="27" t="str">
        <x:v>Creality Hyper PLA 1.75 mm 1 kg through BUG; inspect physical spool fit before AMS use</x:v>
      </x:c>
      <x:c r="J10" s="27" t="str">
        <x:v>1 · Build basics</x:v>
      </x:c>
      <x:c r="K10" s="27" t="str">
        <x:v>2 × 1 kg</x:v>
      </x:c>
      <x:c r="L10" s="27" t="str">
        <x:v>printing</x:v>
      </x:c>
      <x:c r="M10" s="25"/>
      <x:c r="N10" s="64" t="str">
        <x:v>https://www.bug.co.il/brand/bambulab/cocoabrown/pla/basic</x:v>
      </x:c>
      <x:c r="O10" s="64" t="str">
        <x:v>https://www.bug.co.il/3d-printers-filament</x:v>
      </x:c>
      <x:c r="P10" s="64" t="str">
        <x:v>https://www.bug.co.il/3d-printers-filament</x:v>
      </x:c>
    </x:row>
    <x:row r="11" ht="84" customHeight="1">
      <x:c r="A11" s="27" t="str">
        <x:v>3</x:v>
      </x:c>
      <x:c r="B11" s="27" t="str">
        <x:v>PETG filament; 1 kg initially</x:v>
      </x:c>
      <x:c r="C11" s="27" t="str">
        <x:v>Bambu PETG HF 1.75 mm, two 1 kg spool-included rolls</x:v>
      </x:c>
      <x:c r="D11" s="27" t="str">
        <x:v>Creality Hyper PETG 1.75 mm; start with one 1 kg spool</x:v>
      </x:c>
      <x:c r="E11" s="65" t="str">
        <x:v>Replace</x:v>
      </x:c>
      <x:c r="F11" s="27" t="str">
        <x:v>Existing value alternative. Dry as needed and tune the material profile. Start with one spool instead of two.</x:v>
      </x:c>
      <x:c r="G11" s="27" t="str">
        <x:v>Bambu PETG HF observed ILS 129 per 1 kg, two units ILS 258; free pickup shown, delivery charges unverified; separate Eilat price shown. Creality Hyper PETG category lists ILS 69/kg, stock and delivery not verified.</x:v>
      </x:c>
      <x:c r="H11" s="27" t="str">
        <x:v>Prior observed ILS 69/kg versus Bambu PETG HF ILS 129/kg. Confirm selected color and delivery.</x:v>
      </x:c>
      <x:c r="I11" s="27" t="str">
        <x:v>Creality Hyper PETG 1.75 mm 1 kg through BUG; check spool fit and calibrate material profile</x:v>
      </x:c>
      <x:c r="J11" s="27" t="str">
        <x:v>1 · Build basics</x:v>
      </x:c>
      <x:c r="K11" s="27" t="str">
        <x:v>1 × 1 kg; previous proposal was 2 kg</x:v>
      </x:c>
      <x:c r="L11" s="27" t="str">
        <x:v>printing</x:v>
      </x:c>
      <x:c r="M11" s="25"/>
      <x:c r="N11" s="64" t="str">
        <x:v>https://www.bug.co.il/brand/bambulab/petg/hf/cream</x:v>
      </x:c>
      <x:c r="O11" s="64" t="str">
        <x:v>https://www.bug.co.il/3d-printers-filament</x:v>
      </x:c>
      <x:c r="P11" s="64" t="str">
        <x:v>https://www.bug.co.il/3d-printers-filament</x:v>
      </x:c>
    </x:row>
    <x:row r="12" ht="84" customHeight="1">
      <x:c r="A12" s="27" t="str">
        <x:v>4</x:v>
      </x:c>
      <x:c r="B12" s="27" t="str">
        <x:v>Sealed filament storage and desiccant for four rolls</x:v>
      </x:c>
      <x:c r="C12" s="27" t="str">
        <x:v>Use included AMS 2 Pro for four loaded rolls; sealed spool bags/boxes plus desiccant for any rolls removed from it</x:v>
      </x:c>
      <x:c r="D12" s="27" t="str">
        <x:v>Included AMS 2 Pro + sealed storage for removed rolls; indicating silica gel</x:v>
      </x:c>
      <x:c r="E12" s="65" t="str">
        <x:v>Specify</x:v>
      </x:c>
      <x:c r="F12" s="27" t="str">
        <x:v>Keep loaded rolls in AMS. Proposed stock: 500 g cobalt-free indicating silica gel in compatible sachets/cartridges, plus bags or boxes for removed rolls. Passive storage does not dry wet filament.</x:v>
      </x:c>
      <x:c r="G12" s="27" t="str">
        <x:v>AMS storage included with item 1. eSUN kit listing ILS 139 (sold out); VAT/delivery details not established. Generic sealed boxes/desiccant not yet quoted.</x:v>
      </x:c>
      <x:c r="H12" s="27" t="str">
        <x:v>AMS storage included. Retain ILS 120 storage/desiccant allowance; exact delivered quote required.</x:v>
      </x:c>
      <x:c r="I12" s="27" t="str">
        <x:v>eSUN eVacuum Kit Pro (10 bags, 15 silica-gel packs, USB pump) as an identified local kit; current local listing is sold out</x:v>
      </x:c>
      <x:c r="J12" s="27" t="str">
        <x:v>Included / defer</x:v>
      </x:c>
      <x:c r="K12" s="27" t="str">
        <x:v>1 storage set; proposed 500 g silica gel</x:v>
      </x:c>
      <x:c r="L12" s="27" t="str">
        <x:v>printing</x:v>
      </x:c>
      <x:c r="M12" s="25"/>
      <x:c r="N12" s="64" t="str">
        <x:v>https://bambu-lab-jp.myshopify.com/en/products/ams-2-pro</x:v>
      </x:c>
      <x:c r="O12" s="64" t="str">
        <x:v>https://www.3dbotx.co.il/product-page/evacuum-kit-pro-esun</x:v>
      </x:c>
      <x:c r="P12" s="64" t="str">
        <x:v>https://bambu-lab-jp.myshopify.com/en/products/ams-2-pro</x:v>
      </x:c>
    </x:row>
    <x:row r="13" ht="105" customHeight="1">
      <x:c r="A13" s="27" t="str">
        <x:v>5</x:v>
      </x:c>
      <x:c r="B13" s="27" t="str">
        <x:v>Spare standard 0.4 mm hotend</x:v>
      </x:c>
      <x:c r="C13" s="27" t="str">
        <x:v>Genuine Bambu Hotend H2/P2S, 0.4 mm Hardened Steel, FAH025</x:v>
      </x:c>
      <x:c r="D13" s="27" t="str">
        <x:v>Optional genuine H2/P2S 0.4 mm hardened-steel hotend FAH025</x:v>
      </x:c>
      <x:c r="E13" s="66" t="str">
        <x:v>Defer</x:v>
      </x:c>
      <x:c r="F13" s="27" t="str">
        <x:v>Installed hardened hotend is included. Keep a spare only for downtime protection; order exact H2/P2S standard-flow part. P1 and A1 hotends are incompatible. High-flow upgrade is unnecessary initially.</x:v>
      </x:c>
      <x:c r="G13" s="27" t="str">
        <x:v>Standard FAH025: local delivered quote unavailable. Official Japan listing JPY 3,180 tax included is a specification/reference price, not an Israel purchase quote. High-flow alternative BUG ILS 259 with free shipping; Spider3D ILS 395 (listing says in stock), shipping/VAT details not fully verified.</x:v>
      </x:c>
      <x:c r="H13" s="27" t="str">
        <x:v>Local standard FAH025 delivered price not verified. Quantity zero in initial budget; previous ILS 150 allowance is not a quote.</x:v>
      </x:c>
      <x:c r="I13" s="27" t="str">
        <x:v>Earlier A1-series 0.4 mm spare was tied to the unselected A1 route. Previous high-flow H2/P2S FAH063 remains an unnecessary upgrade initially.</x:v>
      </x:c>
      <x:c r="J13" s="27" t="str">
        <x:v>Confirm fit / SKU</x:v>
      </x:c>
      <x:c r="K13" s="27" t="str">
        <x:v>0 initially; optional 1 spare</x:v>
      </x:c>
      <x:c r="L13" s="27" t="str">
        <x:v>printing</x:v>
      </x:c>
      <x:c r="M13" s="25"/>
      <x:c r="N13" s="64" t="str">
        <x:v>https://bambu-lab-jp.myshopify.com/en/products/bambu-hotend-h-series</x:v>
      </x:c>
      <x:c r="O13" s="64" t="str">
        <x:v>https://www.bug.co.il/brand/bambulab/h2/p2/series/hotend/hardenedsteel/highflow/04mm</x:v>
      </x:c>
      <x:c r="P13" s="64" t="str">
        <x:v>https://bambu-lab-jp.myshopify.com/en/products/bambu-hotend-h-series
https://csm.bblcdn.com/hub/9425242c00344b0e801b6179f9a243aa.pdf</x:v>
      </x:c>
    </x:row>
    <x:row r="14" ht="84" customHeight="1">
      <x:c r="A14" s="27" t="str">
        <x:v>6</x:v>
      </x:c>
      <x:c r="B14" s="27" t="str">
        <x:v>150 mm digital caliper</x:v>
      </x:c>
      <x:c r="C14" s="27" t="str">
        <x:v>iGaging OriginCal IP54 100-700-06, 0–150 mm</x:v>
      </x:c>
      <x:c r="D14" s="27" t="str">
        <x:v>iGaging OriginCal IP54 100-700-06, 0–150 mm</x:v>
      </x:c>
      <x:c r="E14" s="66" t="str">
        <x:v>Keep</x:v>
      </x:c>
      <x:c r="F14" s="27" t="str">
        <x:v>Retain a documented caliper. Mitutoyo is an optional premium upgrade, not required for printed fit checks. No cheaper calibrated equivalent established.</x:v>
      </x:c>
      <x:c r="G14" s="27" t="str">
        <x:v>Quote needed</x:v>
      </x:c>
      <x:c r="H14" s="27" t="str">
        <x:v>Same candidate: see previous price. No new price claim.</x:v>
      </x:c>
      <x:c r="I14" s="27" t="str">
        <x:v>Mitutoyo 500-171-30, local higher-cost alternative</x:v>
      </x:c>
      <x:c r="J14" s="27" t="str">
        <x:v>1 · Build basics</x:v>
      </x:c>
      <x:c r="K14" s="27" t="str">
        <x:v>1</x:v>
      </x:c>
      <x:c r="L14" s="27" t="str">
        <x:v>mechanical</x:v>
      </x:c>
      <x:c r="M14" s="25"/>
      <x:c r="N14" s="64" t="str">
        <x:v>https://igagingshop.com/products/ip54-origincal-absolute-digital-calipers-1</x:v>
      </x:c>
      <x:c r="O14" s="64" t="str">
        <x:v>https://www.z-tools.co.il/page_22428</x:v>
      </x:c>
      <x:c r="P14" s="64" t="str">
        <x:v>https://igagingshop.com/products/ip54-origincal-absolute-digital-calipers-1</x:v>
      </x:c>
    </x:row>
    <x:row r="15" ht="84" customHeight="1">
      <x:c r="A15" s="27" t="str">
        <x:v>7</x:v>
      </x:c>
      <x:c r="B15" s="27" t="str">
        <x:v>Ruler and small square</x:v>
      </x:c>
      <x:c r="C15" s="27" t="str">
        <x:v>Stanley 0-46-151 300 mm Combination Square</x:v>
      </x:c>
      <x:c r="D15" s="27" t="str">
        <x:v>Stanley 0-46-151 300 mm Combination Square</x:v>
      </x:c>
      <x:c r="E15" s="66" t="str">
        <x:v>Keep</x:v>
      </x:c>
      <x:c r="F15" s="27" t="str">
        <x:v>One combination square replaces separate ruler and square purchases. Reuse an accurate household one if available.</x:v>
      </x:c>
      <x:c r="G15" s="27" t="str">
        <x:v>Quote needed</x:v>
      </x:c>
      <x:c r="H15" s="27" t="str">
        <x:v>Same candidate: see previous price. No new price claim.</x:v>
      </x:c>
      <x:c r="I15" s="27" t="str">
        <x:v>No distinct alternative previously proposed.</x:v>
      </x:c>
      <x:c r="J15" s="27" t="str">
        <x:v>1 · Build basics</x:v>
      </x:c>
      <x:c r="K15" s="27" t="str">
        <x:v>1</x:v>
      </x:c>
      <x:c r="L15" s="27" t="str">
        <x:v>mechanical</x:v>
      </x:c>
      <x:c r="M15" s="25"/>
      <x:c r="N15" s="64" t="str">
        <x:v>https://www.stanleytools.co.uk/product/0-46-151/300mm-combination-square</x:v>
      </x:c>
      <x:c r="O15" s="64" t="str"/>
      <x:c r="P15" s="64" t="str">
        <x:v>https://www.stanleytools.co.uk/product/0-46-151/300mm-combination-square</x:v>
      </x:c>
    </x:row>
    <x:row r="16" ht="84" customHeight="1">
      <x:c r="A16" s="27" t="str">
        <x:v>8</x:v>
      </x:c>
      <x:c r="B16" s="27" t="str">
        <x:v>Digital scale</x:v>
      </x:c>
      <x:c r="C16" s="27" t="str">
        <x:v>Beurer KS25 kitchen scale</x:v>
      </x:c>
      <x:c r="D16" s="27" t="str">
        <x:v>Existing kitchen scale with tare and 1 g increments; Beurer KS25 only if absent</x:v>
      </x:c>
      <x:c r="E16" s="67" t="str">
        <x:v>Reuse</x:v>
      </x:c>
      <x:c r="F16" s="27" t="str">
        <x:v>Adequate for spool and prototype mass. It is not a precision force or tiny-component scale.</x:v>
      </x:c>
      <x:c r="G16" s="27" t="str">
        <x:v>Quote needed</x:v>
      </x:c>
      <x:c r="H16" s="27" t="str">
        <x:v>No new spend if suitable scale already owned; otherwise previous quote status applies.</x:v>
      </x:c>
      <x:c r="I16" s="27" t="str">
        <x:v>Reuse an existing kitchen scale with tare and 1 g increments</x:v>
      </x:c>
      <x:c r="J16" s="27" t="str">
        <x:v>Check home first</x:v>
      </x:c>
      <x:c r="K16" s="27" t="str">
        <x:v>1</x:v>
      </x:c>
      <x:c r="L16" s="27" t="str">
        <x:v>mechanical</x:v>
      </x:c>
      <x:c r="M16" s="25"/>
      <x:c r="N16" s="64" t="str">
        <x:v>https://beurer.co.il/product/bwwks25/</x:v>
      </x:c>
      <x:c r="O16" s="64" t="str"/>
      <x:c r="P16" s="64" t="str"/>
    </x:row>
    <x:row r="17" ht="105" customHeight="1">
      <x:c r="A17" s="27" t="str">
        <x:v>9</x:v>
      </x:c>
      <x:c r="B17" s="27" t="str">
        <x:v>Metric hex keys, including 1.5–4 mm</x:v>
      </x:c>
      <x:c r="C17" s="27" t="str">
        <x:v>Wera 950/9 Hex-Plus 6, metric BlackLaser 9-piece L-key set</x:v>
      </x:c>
      <x:c r="D17" s="27" t="str">
        <x:v>Bondhus 12199 / HLX9M, 9-piece metric long hex-key set, 1.5–10 mm</x:v>
      </x:c>
      <x:c r="E17" s="68" t="str">
        <x:v>Compare</x:v>
      </x:c>
      <x:c r="F17" s="27" t="str">
        <x:v>Value alternative to Wera; choose if the delivered quote is lower. No verified same-market Wera price, so savings are not quantified. Straight hex ends rather than Wera Hex-Plus geometry/ball-end convenience; includes all required 1.5, 2, 2.5, 3 and 4 mm sizes. Reliable basic set; do not buy imperial by mistake.</x:v>
      </x:c>
      <x:c r="G17" s="27" t="str">
        <x:v>Quote needed</x:v>
      </x:c>
      <x:c r="H17" s="27" t="str">
        <x:v>GBP 9.95 ex VAT at Bondhus UK, shown in stock; Israel shipping, taxes and delivery unconfirmed. TME Italy also shows EUR 12.24 net, not an Israel quote.</x:v>
      </x:c>
      <x:c r="I17" s="27" t="str">
        <x:v>No distinct alternative previously proposed.</x:v>
      </x:c>
      <x:c r="J17" s="27" t="str">
        <x:v>1 · Build basics</x:v>
      </x:c>
      <x:c r="K17" s="27" t="str">
        <x:v>1 set</x:v>
      </x:c>
      <x:c r="L17" s="27" t="str">
        <x:v>mechanical</x:v>
      </x:c>
      <x:c r="M17" s="25"/>
      <x:c r="N17" s="64" t="str">
        <x:v>https://www.wera-tools.co.uk/tools/950-9-hex-plus-6-l-key-set-metric-blacklaser</x:v>
      </x:c>
      <x:c r="O17" s="64" t="str"/>
      <x:c r="P17" s="64" t="str">
        <x:v>https://bondhus.co.uk/products/bondhus-hlx9m-hex-key-9pcs-metric-set
https://bondhus.co.uk/products/bondhus-hlx9m-hex-key-9pcs-metric-set
https://www.tme.eu/it/details/bondhus-12199/chiavi-a-brugola-e-trox/bondhus/12199/</x:v>
      </x:c>
    </x:row>
    <x:row r="18" ht="84" customHeight="1">
      <x:c r="A18" s="27" t="str">
        <x:v>10</x:v>
      </x:c>
      <x:c r="B18" s="27" t="str">
        <x:v>Nut drivers for M2.5/M3/M4 joints</x:v>
      </x:c>
      <x:c r="C18" s="27" t="str">
        <x:v>Reuse Mako 5.0/5.5 mm nut bits from item 11; add Wiha SoftFinish 01078, 7 mm x 65 mm</x:v>
      </x:c>
      <x:c r="D18" s="27" t="str">
        <x:v>Only the 5.0/5.5/7 mm nut drivers missing from the selected bit set</x:v>
      </x:c>
      <x:c r="E18" s="68" t="str">
        <x:v>Reduce</x:v>
      </x:c>
      <x:c r="F18" s="27" t="str">
        <x:v>If replacing Mako, its included 5.0/5.5 mm bits no longer cover this row. Price the complete driver basket, not just a cheaper screwdriver kit.</x:v>
      </x:c>
      <x:c r="G18" s="27" t="str">
        <x:v>Quote needed</x:v>
      </x:c>
      <x:c r="H18" s="27" t="str">
        <x:v>Quote the missing sizes only.</x:v>
      </x:c>
      <x:c r="I18" s="27" t="str">
        <x:v>Wiha Precision 5.0 and 5.5 mm nut drivers if dedicated handles become useful</x:v>
      </x:c>
      <x:c r="J18" s="27" t="str">
        <x:v>1 · Build basics</x:v>
      </x:c>
      <x:c r="K18" s="27" t="str">
        <x:v>1 extra 7 mm driver</x:v>
      </x:c>
      <x:c r="L18" s="27" t="str">
        <x:v>mechanical</x:v>
      </x:c>
      <x:c r="M18" s="25"/>
      <x:c r="N18" s="64" t="str">
        <x:v>https://wiha.com/tools/screwdrivers/mechanic-s-screwdrivers/softfinish/hex/screwdriver-softfinish/01078</x:v>
      </x:c>
      <x:c r="O18" s="64" t="str">
        <x:v>https://www.wihatools.com/products/precision-nut-drivers</x:v>
      </x:c>
      <x:c r="P18" s="64" t="str">
        <x:v>https://www.wihatools.com/products/precision-nut-drivers</x:v>
      </x:c>
    </x:row>
    <x:row r="19" ht="120" customHeight="1">
      <x:c r="A19" s="27" t="str">
        <x:v>11</x:v>
      </x:c>
      <x:c r="B19" s="27" t="str">
        <x:v>Precision screwdriver/bit set</x:v>
      </x:c>
      <x:c r="C19" s="27" t="str">
        <x:v>iFixit Mako Driver Kit, 64 precision bits, IF145-299-4</x:v>
      </x:c>
      <x:c r="D19" s="27" t="str">
        <x:v>iFixit Moray Driver Kit IF145-475-1, 32 precision bits</x:v>
      </x:c>
      <x:c r="E19" s="68" t="str">
        <x:v>Compare</x:v>
      </x:c>
      <x:c r="F19" s="27" t="str">
        <x:v>Cheaper compact option, but keep Mako as the default if M3 nuts will be used often: the missing 5.5 mm driver reduces the practical saving. Polymer handle and 32 bits instead of aluminum handle and 64 bits. Moray includes 5 mm nut bit but not 5.5 mm; item 10 must add 5.5 mm AND 7 mm drivers if Moray replaces Mako. Dedicated hex keys still cover mechanical assembly.</x:v>
      </x:c>
      <x:c r="G19" s="27" t="str">
        <x:v>USD 39.95 displayed in manufacturer comparison; shipping and Israel taxes/import costs excluded or unconfirmed.</x:v>
      </x:c>
      <x:c r="H19" s="27" t="str">
        <x:v>USD 19.95 new; manufacturer says ready to ship. Original Mako USD 39.95: USD 20 item-price saving before extra nut driver. Israel delivery, shipping and import taxes unconfirmed.</x:v>
      </x:c>
      <x:c r="I19" s="27" t="str">
        <x:v>No distinct alternative previously proposed.</x:v>
      </x:c>
      <x:c r="J19" s="27" t="str">
        <x:v>Check home first</x:v>
      </x:c>
      <x:c r="K19" s="27" t="str">
        <x:v>1</x:v>
      </x:c>
      <x:c r="L19" s="27" t="str">
        <x:v>mechanical</x:v>
      </x:c>
      <x:c r="M19" s="25"/>
      <x:c r="N19" s="64" t="str">
        <x:v>https://www.ifixit.com/products/mako-driver-kit-64-precision-bits</x:v>
      </x:c>
      <x:c r="O19" s="64" t="str"/>
      <x:c r="P19" s="64" t="str">
        <x:v>https://www.ifixit.com/products/moray-driver-kit
https://www.ifixit.com/products/moray-driver-kit
https://www.ifixit.com/products/mako-driver-kit-64-precision-bits</x:v>
      </x:c>
    </x:row>
    <x:row r="20" ht="120" customHeight="1">
      <x:c r="A20" s="27" t="str">
        <x:v>12</x:v>
      </x:c>
      <x:c r="B20" s="27" t="str">
        <x:v>Long-nose pliers</x:v>
      </x:c>
      <x:c r="C20" s="27" t="str">
        <x:v>Knipex 26 11 200, 200 mm long-nose side-cutting pliers</x:v>
      </x:c>
      <x:c r="D20" s="27" t="str">
        <x:v>Pro'sKit PM-736, 132 mm long-nose pliers with cutter</x:v>
      </x:c>
      <x:c r="E20" s="65" t="str">
        <x:v>Replace</x:v>
      </x:c>
      <x:c r="F20" s="27" t="str">
        <x:v>Recommended value substitution for electronics and small printed assemblies; retain Knipex only if heavier mechanical gripping/cutting is expected. Smaller 132 mm tool and shorter jaws than 200 mm Knipex; cannot assume equivalent leverage or hard-wire cutting rating. Spring-return grip suits small electronics. Plastic grips do not establish certified mains insulation.</x:v>
      </x:c>
      <x:c r="G20" s="27" t="str">
        <x:v>Quote needed</x:v>
      </x:c>
      <x:c r="H20" s="27" t="str">
        <x:v>ILS 29 displayed at Media Galaxy Israel; product listed, live stock/shipping and VAT treatment not separately verified.</x:v>
      </x:c>
      <x:c r="I20" s="27" t="str">
        <x:v>No distinct alternative previously proposed.</x:v>
      </x:c>
      <x:c r="J20" s="27" t="str">
        <x:v>Check home first</x:v>
      </x:c>
      <x:c r="K20" s="27" t="str">
        <x:v>1</x:v>
      </x:c>
      <x:c r="L20" s="27" t="str">
        <x:v>mechanical</x:v>
      </x:c>
      <x:c r="M20" s="25"/>
      <x:c r="N20" s="64" t="str">
        <x:v>https://www.knipex-tools.com/products/long-nose-pliers/long-nose-pliers-with-cutting-edges/long-nose-pliers-cutter-and-awg-stripping-hole/2611200</x:v>
      </x:c>
      <x:c r="O20" s="64" t="str"/>
      <x:c r="P20" s="64" t="str">
        <x:v>https://www.proskit.com/Product/PM-736?hl=en-US
https://www.proskit.com/Product/PM-736?hl=en-US
https://www.mediagalaxy.co.il/%D7%A9%D7%A4%D7%99%D7%A5-%D7%A4%D7%9C%D7%90%D7%99%D7%99%D7%A8-%D7%95%D7%A7%D7%90%D7%98%D7%A8-%D7%9C%D7%90%D7%9C%D7%A7%D7%98%D7%A8%D7%95%D7%A0%D7%99%D7%A7%D7%94-%D7%90%D7%A3-%D7%90%D7%A8%D7%95%D7%9A-Proskit-%D7%93%D7%92%D7%9D-PM-736</x:v>
      </x:c>
    </x:row>
    <x:row r="21" ht="84" customHeight="1">
      <x:c r="A21" s="27" t="str">
        <x:v>13</x:v>
      </x:c>
      <x:c r="B21" s="27" t="str">
        <x:v>Flush cutter</x:v>
      </x:c>
      <x:c r="C21" s="27" t="str">
        <x:v>Hakko CHP-170 micro cutter</x:v>
      </x:c>
      <x:c r="D21" s="27" t="str">
        <x:v>Hakko CHP-170 micro cutter</x:v>
      </x:c>
      <x:c r="E21" s="66" t="str">
        <x:v>Keep</x:v>
      </x:c>
      <x:c r="F21" s="27" t="str">
        <x:v>Already an economical soft-wire cutter. Do not use it on screws, steel shafts or hardened wire.</x:v>
      </x:c>
      <x:c r="G21" s="27" t="str">
        <x:v>Quote needed</x:v>
      </x:c>
      <x:c r="H21" s="27" t="str">
        <x:v>Same candidate: see previous price. No new price claim.</x:v>
      </x:c>
      <x:c r="I21" s="27" t="str">
        <x:v>Hakko CHP-170-A-D with safety clip</x:v>
      </x:c>
      <x:c r="J21" s="27" t="str">
        <x:v>1 · Build basics</x:v>
      </x:c>
      <x:c r="K21" s="27" t="str">
        <x:v>1</x:v>
      </x:c>
      <x:c r="L21" s="27" t="str">
        <x:v>mechanical</x:v>
      </x:c>
      <x:c r="M21" s="25"/>
      <x:c r="N21" s="64" t="str">
        <x:v>https://hakkousa.com/chp-170</x:v>
      </x:c>
      <x:c r="O21" s="64" t="str">
        <x:v>https://hakkousa.com/chp-170-a-d-micro-cutter.html</x:v>
      </x:c>
      <x:c r="P21" s="64" t="str">
        <x:v>https://hakkousa.com/chp-170</x:v>
      </x:c>
    </x:row>
    <x:row r="22" ht="105" customHeight="1">
      <x:c r="A22" s="27" t="str">
        <x:v>14</x:v>
      </x:c>
      <x:c r="B22" s="27" t="str">
        <x:v>Tweezers</x:v>
      </x:c>
      <x:c r="C22" s="27" t="str">
        <x:v>iFixit Precision Tweezers Set, IF145-060-3</x:v>
      </x:c>
      <x:c r="D22" s="27" t="str">
        <x:v>Pro'sKit 908-T301, two-piece 145 mm stainless-steel tweezer set</x:v>
      </x:c>
      <x:c r="E22" s="68" t="str">
        <x:v>Compare</x:v>
      </x:c>
      <x:c r="F22" s="27" t="str">
        <x:v>Value option when bundling an electronics order; do not place a separate international order for the small item-price saving. Straight and angled tips instead of iFixit's three-tip set. Manufacturer describes insulated sleeves, but no quantified ESD properties were verified; do not infer ESD or mains safety from the sleeves.</x:v>
      </x:c>
      <x:c r="G22" s="27" t="str">
        <x:v>US$11.95 shown alongside Mako kit on iFixit; shipping/import taxes and Israel delivery unverified.</x:v>
      </x:c>
      <x:c r="H22" s="27" t="str">
        <x:v>Farnell Israel listing retrieved USD 4.717 ex VAT per kit (rounded USD 4.72), 122 in UK stock; shipping to Israel, order minimums and final tax remain checkout-dependent.</x:v>
      </x:c>
      <x:c r="I22" s="27" t="str">
        <x:v>No distinct alternative previously proposed.</x:v>
      </x:c>
      <x:c r="J22" s="27" t="str">
        <x:v>1 · Build basics</x:v>
      </x:c>
      <x:c r="K22" s="27" t="str">
        <x:v>1 set</x:v>
      </x:c>
      <x:c r="L22" s="27" t="str">
        <x:v>mechanical</x:v>
      </x:c>
      <x:c r="M22" s="25"/>
      <x:c r="N22" s="64" t="str">
        <x:v>https://www.ifixit.com/products/precision-tweezers-set</x:v>
      </x:c>
      <x:c r="O22" s="64" t="str"/>
      <x:c r="P22" s="64" t="str">
        <x:v>https://il.farnell.com/proskit-industries/908-t301/insulated-tweezer-set-2-pcs/dp/1666210
https://il.farnell.com/proskit-industries/908-t301/insulated-tweezer-set-2-pcs/dp/1666210
https://www.proskit.com/Product/908-T301?hl=en-US</x:v>
      </x:c>
    </x:row>
    <x:row r="23" ht="84" customHeight="1">
      <x:c r="A23" s="27" t="str">
        <x:v>15</x:v>
      </x:c>
      <x:c r="B23" s="27" t="str">
        <x:v>Small bench vise with soft jaws</x:v>
      </x:c>
      <x:c r="C23" s="27" t="str">
        <x:v>Stanley 1-83-069 MAXSTEEL Multi-Angle Vice</x:v>
      </x:c>
      <x:c r="D23" s="27" t="str">
        <x:v>Stanley 1-83-069 MAXSTEEL Multi-Angle Vice</x:v>
      </x:c>
      <x:c r="E23" s="66" t="str">
        <x:v>Keep</x:v>
      </x:c>
      <x:c r="F23" s="27" t="str">
        <x:v>Compact clamp-on vise matches the bench. Larger heavy vise adds cost and weight without a present task.</x:v>
      </x:c>
      <x:c r="G23" s="27" t="str">
        <x:v>Quote needed</x:v>
      </x:c>
      <x:c r="H23" s="27" t="str">
        <x:v>Same candidate: see previous price. No new price claim.</x:v>
      </x:c>
      <x:c r="I23" s="27" t="str">
        <x:v>Stanley 1-83-067 125 mm fixed bench vise only if substantial metalworking develops</x:v>
      </x:c>
      <x:c r="J23" s="27" t="str">
        <x:v>1 · Build basics</x:v>
      </x:c>
      <x:c r="K23" s="27" t="str">
        <x:v>1</x:v>
      </x:c>
      <x:c r="L23" s="27" t="str">
        <x:v>mechanical</x:v>
      </x:c>
      <x:c r="M23" s="25"/>
      <x:c r="N23" s="64" t="str">
        <x:v>https://www.tme.com/il/en/details/stl-1-83-069/vices-and-clamps/stanley/1-83-069/</x:v>
      </x:c>
      <x:c r="O23" s="64" t="str">
        <x:v>https://www.stanleytools.co.uk/product/1-83-067/stanley-125mm-heavy-duty-bench-vice</x:v>
      </x:c>
      <x:c r="P23" s="64" t="str">
        <x:v>https://www.tme.com/il/en/details/stl-1-83-069/vices-and-clamps/stanley/1-83-069/</x:v>
      </x:c>
    </x:row>
    <x:row r="24" ht="135" customHeight="1">
      <x:c r="A24" s="27" t="str">
        <x:v>16</x:v>
      </x:c>
      <x:c r="B24" s="27" t="str">
        <x:v>Small clamps</x:v>
      </x:c>
      <x:c r="C24" s="27" t="str">
        <x:v>Bessey EZS15-8 one-handed clamp, 150 mm opening / 80 mm throat</x:v>
      </x:c>
      <x:c r="D24" s="27" t="str">
        <x:v>Irwin QUICK-GRIP 1964758, four-pack of 6-inch mini bar clamps</x:v>
      </x:c>
      <x:c r="E24" s="68" t="str">
        <x:v>Compare</x:v>
      </x:c>
      <x:c r="F24" s="27" t="str">
        <x:v>Value substitute for four Bessey clamps for light assembly. Compare actual landed price before replacing the Bessey quote. Smaller and lower-force mini-clamp design; sufficient for many printed-part/gluing tasks but not equivalent to Bessey EZS force/throat specifications. Confirm opening includes board and workpiece. Four clamps, not four packs. Buying two Bessey clamps first is also a way to reduce initial spend.</x:v>
      </x:c>
      <x:c r="G24" s="27" t="str">
        <x:v>Quote needed</x:v>
      </x:c>
      <x:c r="H24" s="27" t="str">
        <x:v>Desertcart Israel page shows ILS 198 for four, duties/taxes included, in stock. Another page for the same model shows ILS 369: checkout price is unresolved; shipping/membership conditions unverified. No reliable savings total claimed.</x:v>
      </x:c>
      <x:c r="I24" s="27" t="str">
        <x:v>No distinct alternative previously proposed.</x:v>
      </x:c>
      <x:c r="J24" s="27" t="str">
        <x:v>1 · Build basics</x:v>
      </x:c>
      <x:c r="K24" s="27" t="str">
        <x:v>4</x:v>
      </x:c>
      <x:c r="L24" s="27" t="str">
        <x:v>mechanical</x:v>
      </x:c>
      <x:c r="M24" s="25"/>
      <x:c r="N24" s="64" t="str">
        <x:v>https://bessey.de/en-gb/bessey-tool/products/clamping-tools/one-handed-clamps/one-handed-clamp-ezs</x:v>
      </x:c>
      <x:c r="O24" s="64" t="str"/>
      <x:c r="P24" s="64" t="str">
        <x:v>https://www.irwintools.com/product/1964758/quick-grip-one-handed-6-mini-bar-clamps-4-pack
https://www.irwintools.com/product/1964758/quick-grip-one-handed-6-mini-bar-clamps-4-pack
https://www.desertcart.co.il/products/6125469-irwin-quick-grip-1964758-one-handed-mini-bar-clamp-4
https://www.desertcart.co.il/products/263682983-irwin-quick-grip-clamps-one-handed-mini-bar-6-inch</x:v>
      </x:c>
    </x:row>
    <x:row r="25" ht="84" customHeight="1">
      <x:c r="A25" s="27" t="str">
        <x:v>17</x:v>
      </x:c>
      <x:c r="B25" s="27" t="str">
        <x:v>Compact drill/driver kit</x:v>
      </x:c>
      <x:c r="C25" s="27" t="str">
        <x:v>Bosch Professional GSR 12V-15 kit, Z-Tools SKU 15990.G6L (2 Ah + 4 Ah batteries, charger, bag, accessories)</x:v>
      </x:c>
      <x:c r="D25" s="27" t="str">
        <x:v>Reuse a variable-speed drill with chuck; otherwise quote a single-battery 230 V charger kit</x:v>
      </x:c>
      <x:c r="E25" s="67" t="str">
        <x:v>Reuse</x:v>
      </x:c>
      <x:c r="F25" s="27" t="str">
        <x:v>The previous two-battery professional bundle is optional. Compare complete tool, battery and charger costs, not bare-tool prices.</x:v>
      </x:c>
      <x:c r="G25" s="27" t="str">
        <x:v>Quote needed</x:v>
      </x:c>
      <x:c r="H25" s="27" t="str">
        <x:v>No new spend if suitable drill is available. Replacement kit not yet priced.</x:v>
      </x:c>
      <x:c r="I25" s="27" t="str">
        <x:v>Reuse an existing variable-speed drill with a standard chuck</x:v>
      </x:c>
      <x:c r="J25" s="27" t="str">
        <x:v>Check home first</x:v>
      </x:c>
      <x:c r="K25" s="27" t="str">
        <x:v>1 kit</x:v>
      </x:c>
      <x:c r="L25" s="27" t="str">
        <x:v>mechanical</x:v>
      </x:c>
      <x:c r="M25" s="25"/>
      <x:c r="N25" s="64" t="str">
        <x:v>https://www.z-tools.co.il/page_22504</x:v>
      </x:c>
      <x:c r="O25" s="64" t="str">
        <x:v>https://www.bosch-professional.com/il/he/products/gsr-12v-15-060186810C</x:v>
      </x:c>
      <x:c r="P25" s="64" t="str">
        <x:v>https://www.bosch-professional.com/il/he/products/gsr-12v-15-060186810C</x:v>
      </x:c>
    </x:row>
    <x:row r="26" ht="84" customHeight="1">
      <x:c r="A26" s="27" t="str">
        <x:v>18</x:v>
      </x:c>
      <x:c r="B26" s="27" t="str">
        <x:v>Metric drill bits</x:v>
      </x:c>
      <x:c r="C26" s="27" t="str">
        <x:v>Bosch PRO Metal HSS-G 19-piece set, 2608587013, 1–10 mm in 0.5 mm increments</x:v>
      </x:c>
      <x:c r="D26" s="27" t="str">
        <x:v>Buy only required metric HSS drill sizes first; retain Bosch 19-piece set as convenience option</x:v>
      </x:c>
      <x:c r="E26" s="68" t="str">
        <x:v>Reduce</x:v>
      </x:c>
      <x:c r="F26" s="27" t="str">
        <x:v>Start from the printed-hole and fastener sizes actually used. Add clearance sizes such as 3.2 mm only when a drawing specifies them.</x:v>
      </x:c>
      <x:c r="G26" s="27" t="str">
        <x:v>Quote needed</x:v>
      </x:c>
      <x:c r="H26" s="27" t="str">
        <x:v>Individual-bit versus set comparison requires a local quote.</x:v>
      </x:c>
      <x:c r="I26" s="27" t="str">
        <x:v>No distinct alternative previously proposed.</x:v>
      </x:c>
      <x:c r="J26" s="27" t="str">
        <x:v>1 · Build basics</x:v>
      </x:c>
      <x:c r="K26" s="27" t="str">
        <x:v>1 set, only if not duplicated by drill kit</x:v>
      </x:c>
      <x:c r="L26" s="27" t="str">
        <x:v>mechanical</x:v>
      </x:c>
      <x:c r="M26" s="25"/>
      <x:c r="N26" s="64" t="str">
        <x:v>https://il.rsdelivers.com/product/bosch/2608587013/bosch-19-piece-twist-set-for-metal-10-mm-max-1-mm/2360691</x:v>
      </x:c>
      <x:c r="O26" s="64" t="str"/>
      <x:c r="P26" s="64" t="str">
        <x:v>https://il.rsdelivers.com/product/bosch/2608587013/bosch-19-piece-twist-set-for-metal-10-mm-max-1-mm/2360691</x:v>
      </x:c>
    </x:row>
    <x:row r="27" ht="84" customHeight="1">
      <x:c r="A27" s="27" t="str">
        <x:v>19</x:v>
      </x:c>
      <x:c r="B27" s="27" t="str">
        <x:v>Deburring tool</x:v>
      </x:c>
      <x:c r="C27" s="27" t="str">
        <x:v>Noga Burr 3 NG1003</x:v>
      </x:c>
      <x:c r="D27" s="27" t="str">
        <x:v>Noga Burr 3 NG1003</x:v>
      </x:c>
      <x:c r="E27" s="66" t="str">
        <x:v>Keep</x:v>
      </x:c>
      <x:c r="F27" s="27" t="str">
        <x:v>Retain replaceable-blade Noga. This useful core tool does not need a premium upgrade.</x:v>
      </x:c>
      <x:c r="G27" s="27" t="str">
        <x:v>Quote needed</x:v>
      </x:c>
      <x:c r="H27" s="27" t="str">
        <x:v>Same candidate: see previous price. No new price claim.</x:v>
      </x:c>
      <x:c r="I27" s="27" t="str">
        <x:v>No distinct alternative previously proposed.</x:v>
      </x:c>
      <x:c r="J27" s="27" t="str">
        <x:v>1 · Build basics</x:v>
      </x:c>
      <x:c r="K27" s="27" t="str">
        <x:v>1</x:v>
      </x:c>
      <x:c r="L27" s="27" t="str">
        <x:v>mechanical</x:v>
      </x:c>
      <x:c r="M27" s="25"/>
      <x:c r="N27" s="64" t="str">
        <x:v>https://www.noga.com/product/noga-burr-3/</x:v>
      </x:c>
      <x:c r="O27" s="64" t="str"/>
      <x:c r="P27" s="64" t="str">
        <x:v>https://www.noga.com/product/noga-burr-3/</x:v>
      </x:c>
    </x:row>
    <x:row r="28" ht="84" customHeight="1">
      <x:c r="A28" s="27" t="str">
        <x:v>20</x:v>
      </x:c>
      <x:c r="B28" s="27" t="str">
        <x:v>Small files and sanding sheets</x:v>
      </x:c>
      <x:c r="C28" s="27" t="str">
        <x:v>Bahco 2-470-16-1-0 six-piece 160 mm needle file set</x:v>
      </x:c>
      <x:c r="D28" s="27" t="str">
        <x:v>Start with 220-grit sanding sheet; add Bahco needle files when slots or holes need shaping</x:v>
      </x:c>
      <x:c r="E28" s="66" t="str">
        <x:v>Defer</x:v>
      </x:c>
      <x:c r="F28" s="27" t="str">
        <x:v>Sanding does not replace files for internal features. Delay the full set until it has a specific use.</x:v>
      </x:c>
      <x:c r="G28" s="27" t="str">
        <x:v>Quote needed</x:v>
      </x:c>
      <x:c r="H28" s="27" t="str">
        <x:v>Prior prices unquoted; smaller initial quantity, no measured saving.</x:v>
      </x:c>
      <x:c r="I28" s="27" t="str">
        <x:v>For sanding surfaces: 3M SandBlaster Pro 423-220G-SBP, 220 grit; add 120 grit only for rougher removal</x:v>
      </x:c>
      <x:c r="J28" s="27" t="str">
        <x:v>1 · Build basics</x:v>
      </x:c>
      <x:c r="K28" s="27" t="str">
        <x:v>1 file set + 1 small pack of sanding sheets Buy only when needed.</x:v>
      </x:c>
      <x:c r="L28" s="27" t="str">
        <x:v>mechanical</x:v>
      </x:c>
      <x:c r="M28" s="25"/>
      <x:c r="N28" s="64" t="str">
        <x:v>https://www.bahco.com/int_en/needle-file-set-second-cut-unhandled-160-mm---6-pcs-pb_2-470-16-1-0_.html</x:v>
      </x:c>
      <x:c r="O28" s="64" t="str">
        <x:v>https://www.3m.com/3M/en_US/p/d/v101164035/</x:v>
      </x:c>
      <x:c r="P28" s="64" t="str">
        <x:v>https://www.3m.com/3M/en_US/p/d/v101164035/</x:v>
      </x:c>
    </x:row>
    <x:row r="29" ht="84" customHeight="1">
      <x:c r="A29" s="27" t="str">
        <x:v>21</x:v>
      </x:c>
      <x:c r="B29" s="27" t="str">
        <x:v>Center punch and layout marker</x:v>
      </x:c>
      <x:c r="C29" s="27" t="str">
        <x:v>Draper Expert Automatic Centre Punch 13612 + edding 3000 black permanent marker</x:v>
      </x:c>
      <x:c r="D29" s="27" t="str">
        <x:v>Keep an ordinary permanent marker; add punch when drilling metal</x:v>
      </x:c>
      <x:c r="E29" s="66" t="str">
        <x:v>Defer</x:v>
      </x:c>
      <x:c r="F29" s="27" t="str">
        <x:v>A center punch is not needed for most printed-part assembly. Stanley manual punch is an alternative if a hammer is available.</x:v>
      </x:c>
      <x:c r="G29" s="27" t="str">
        <x:v>Quote needed</x:v>
      </x:c>
      <x:c r="H29" s="27" t="str">
        <x:v>Not separately priced; obtain a complete delivered quote. Earlier price notes may include this alternative.</x:v>
      </x:c>
      <x:c r="I29" s="27" t="str">
        <x:v>Stanley 0-58-120 manual 3.2 mm center punch if a suitable hammer is already owned</x:v>
      </x:c>
      <x:c r="J29" s="27" t="str">
        <x:v>1 · Build basics</x:v>
      </x:c>
      <x:c r="K29" s="27" t="str">
        <x:v>1 punch + 1 marker Buy only when needed.</x:v>
      </x:c>
      <x:c r="L29" s="27" t="str">
        <x:v>mechanical</x:v>
      </x:c>
      <x:c r="M29" s="25"/>
      <x:c r="N29" s="64" t="str">
        <x:v>https://www.drapertools.com/product/13612/draper-expert-automatic-centre-punch/</x:v>
      </x:c>
      <x:c r="O29" s="64" t="str">
        <x:v>https://www.stanleytools.co.uk/product/0-58-120/32mm-single-center-punch</x:v>
      </x:c>
      <x:c r="P29" s="64" t="str">
        <x:v>https://www.stanleytools.co.uk/product/0-58-120/32mm-single-center-punch</x:v>
      </x:c>
    </x:row>
    <x:row r="30" ht="84" customHeight="1">
      <x:c r="A30" s="27" t="str">
        <x:v>22</x:v>
      </x:c>
      <x:c r="B30" s="27" t="str">
        <x:v>Sacrificial drilling backing board</x:v>
      </x:c>
      <x:c r="C30" s="27" t="str">
        <x:v>Reuse a flat plywood/wood offcut; purchased fallback: IKEA APTITLIG 802.334.30, 45 x 28 x 1.6 cm</x:v>
      </x:c>
      <x:c r="D30" s="27" t="str">
        <x:v>Reuse a flat plywood/wood offcut; purchased fallback: IKEA APTITLIG 802.334.30, 45 x 28 x 1.6 cm</x:v>
      </x:c>
      <x:c r="E30" s="67" t="str">
        <x:v>Reuse</x:v>
      </x:c>
      <x:c r="F30" s="27" t="str">
        <x:v>A wood offcut already fulfills the backing-board role. No dedicated product needed if flat and securely clamped.</x:v>
      </x:c>
      <x:c r="G30" s="27" t="str">
        <x:v>Fallback IKEA board: ILS 29 displayed; delivery and VAT treatment not separately itemized.</x:v>
      </x:c>
      <x:c r="H30" s="27" t="str">
        <x:v>Same candidate: see previous price. No new price claim.</x:v>
      </x:c>
      <x:c r="I30" s="27" t="str">
        <x:v>No distinct alternative previously proposed.</x:v>
      </x:c>
      <x:c r="J30" s="27" t="str">
        <x:v>Check home first</x:v>
      </x:c>
      <x:c r="K30" s="27" t="str">
        <x:v>1</x:v>
      </x:c>
      <x:c r="L30" s="27" t="str">
        <x:v>mechanical</x:v>
      </x:c>
      <x:c r="M30" s="25"/>
      <x:c r="N30" s="64" t="str">
        <x:v>https://www.ikea.com/il/he/p/aptitlig-chopping-board-bamboo-80233430/</x:v>
      </x:c>
      <x:c r="O30" s="64" t="str"/>
      <x:c r="P30" s="64" t="str">
        <x:v>https://www.ikea.com/il/he/p/aptitlig-chopping-board-bamboo-80233430/</x:v>
      </x:c>
    </x:row>
    <x:row r="31" ht="84" customHeight="1">
      <x:c r="A31" s="27" t="str">
        <x:v>23</x:v>
      </x:c>
      <x:c r="B31" s="27" t="str">
        <x:v>Bench brush, dustpan and chip container</x:v>
      </x:c>
      <x:c r="C31" s="27" t="str">
        <x:v>IKEA PEPPRIG 105.270.87 dustpan-and-brush set + reused rigid lidded container</x:v>
      </x:c>
      <x:c r="D31" s="27" t="str">
        <x:v>IKEA PEPPRIG 105.270.87 dustpan-and-brush set + reused rigid lidded container</x:v>
      </x:c>
      <x:c r="E31" s="67" t="str">
        <x:v>Reuse</x:v>
      </x:c>
      <x:c r="F31" s="27" t="str">
        <x:v>Reuse a dedicated brush, dustpan and cold-chip container. IKEA is the fallback, not a required new purchase.</x:v>
      </x:c>
      <x:c r="G31" s="27" t="str">
        <x:v>Quote needed</x:v>
      </x:c>
      <x:c r="H31" s="27" t="str">
        <x:v>Same candidate: see previous price. No new price claim.</x:v>
      </x:c>
      <x:c r="I31" s="27" t="str">
        <x:v>No distinct alternative previously proposed.</x:v>
      </x:c>
      <x:c r="J31" s="27" t="str">
        <x:v>Check home first</x:v>
      </x:c>
      <x:c r="K31" s="27" t="str">
        <x:v>1 set + 1 container</x:v>
      </x:c>
      <x:c r="L31" s="27" t="str">
        <x:v>mechanical</x:v>
      </x:c>
      <x:c r="M31" s="25"/>
      <x:c r="N31" s="64" t="str">
        <x:v>https://www.ikea.com/il/he/p/pepprig-dust-pan-and-brush-grey-10527087/</x:v>
      </x:c>
      <x:c r="O31" s="64" t="str"/>
      <x:c r="P31" s="64" t="str">
        <x:v>https://www.ikea.com/il/he/p/pepprig-dust-pan-and-brush-grey-10527087/</x:v>
      </x:c>
    </x:row>
    <x:row r="32" ht="84" customHeight="1">
      <x:c r="A32" s="27" t="str">
        <x:v>24</x:v>
      </x:c>
      <x:c r="B32" s="27" t="str">
        <x:v>Eye protection</x:v>
      </x:c>
      <x:c r="C32" s="27" t="str">
        <x:v>3M SecureFit SF401AF clear anti-fog safety glasses (400 series)</x:v>
      </x:c>
      <x:c r="D32" s="27" t="str">
        <x:v>3M SecureFit SF401AF clear anti-fog safety glasses (400 series)</x:v>
      </x:c>
      <x:c r="E32" s="66" t="str">
        <x:v>Keep</x:v>
      </x:c>
      <x:c r="F32" s="27" t="str">
        <x:v>Keep documented eye protection and correct fit. Choose an over-glasses model if required.</x:v>
      </x:c>
      <x:c r="G32" s="27" t="str">
        <x:v>Quote needed</x:v>
      </x:c>
      <x:c r="H32" s="27" t="str">
        <x:v>Same candidate: see previous price. No new price claim.</x:v>
      </x:c>
      <x:c r="I32" s="27" t="str">
        <x:v>No distinct alternative previously proposed.</x:v>
      </x:c>
      <x:c r="J32" s="27" t="str">
        <x:v>1 · Build basics</x:v>
      </x:c>
      <x:c r="K32" s="27" t="str">
        <x:v>1 pair</x:v>
      </x:c>
      <x:c r="L32" s="27" t="str">
        <x:v>mechanical</x:v>
      </x:c>
      <x:c r="M32" s="25"/>
      <x:c r="N32" s="64" t="str">
        <x:v>https://www.3m.com/3M/en_US/p/d/b00050518/</x:v>
      </x:c>
      <x:c r="O32" s="64" t="str"/>
      <x:c r="P32" s="64" t="str">
        <x:v>https://www.3m.com/3M/en_US/p/d/b00050518/</x:v>
      </x:c>
    </x:row>
    <x:row r="33" ht="84" customHeight="1">
      <x:c r="A33" s="27" t="str">
        <x:v>25</x:v>
      </x:c>
      <x:c r="B33" s="27" t="str">
        <x:v>M3 socket-head screws</x:v>
      </x:c>
      <x:c r="C33" s="27" t="str">
        <x:v>Commodity A2/304 stainless DIN 912 / ISO 4762 socket-head cap screws; TopTool 10-piece size packs</x:v>
      </x:c>
      <x:c r="D33" s="27" t="str">
        <x:v>Commodity A2/304 stainless DIN 912 / ISO 4762 socket-head cap screws; TopTool 10-piece size packs</x:v>
      </x:c>
      <x:c r="E33" s="66" t="str">
        <x:v>Keep</x:v>
      </x:c>
      <x:c r="F33" s="27" t="str">
        <x:v>Local counted standard fasteners are already the value choice. Compare identical material, thread, length and quantity. Avoid importing a branded assortment merely for packaging.</x:v>
      </x:c>
      <x:c r="G33" s="27" t="str">
        <x:v>Quote/selected-variant checkout needed; full 100-screw basket price and delivery not observed.</x:v>
      </x:c>
      <x:c r="H33" s="27" t="str">
        <x:v>Same candidate: see previous price. No new price claim.</x:v>
      </x:c>
      <x:c r="I33" s="27" t="str">
        <x:v>Accu SSCF-M3-8-A2 family, selecting each required length; or obtain a small-quantity local fastener quote</x:v>
      </x:c>
      <x:c r="J33" s="27" t="str">
        <x:v>1 · Build basics</x:v>
      </x:c>
      <x:c r="K33" s="27" t="str">
        <x:v>100 screws total: 20 each of M3×8, ×10, ×12, ×16 and ×20 mm; TopTool = two 10-packs per length</x:v>
      </x:c>
      <x:c r="L33" s="27" t="str">
        <x:v>hardware</x:v>
      </x:c>
      <x:c r="M33" s="25"/>
      <x:c r="N33" s="64" t="str">
        <x:v>https://www.toptool.co.il/product/אלן-עם-ראש-נירוסטה/</x:v>
      </x:c>
      <x:c r="O33" s="64" t="str">
        <x:v>https://www.accu.co.uk/metric-cap-head-screws/3818-SSCF-M3-8-A2</x:v>
      </x:c>
      <x:c r="P33" s="64" t="str">
        <x:v>https://www.toptool.co.il/product/אלן-עם-ראש-נירוסטה/</x:v>
      </x:c>
    </x:row>
    <x:row r="34" ht="84" customHeight="1">
      <x:c r="A34" s="27" t="str">
        <x:v>26</x:v>
      </x:c>
      <x:c r="B34" s="27" t="str">
        <x:v>M4 socket-head screws</x:v>
      </x:c>
      <x:c r="C34" s="27" t="str">
        <x:v>Commodity A2/304 stainless DIN 912 / ISO 4762 socket-head cap screws; TopTool 10-piece size packs</x:v>
      </x:c>
      <x:c r="D34" s="27" t="str">
        <x:v>Commodity A2/304 stainless DIN 912 / ISO 4762 socket-head cap screws; TopTool 10-piece size packs</x:v>
      </x:c>
      <x:c r="E34" s="66" t="str">
        <x:v>Keep</x:v>
      </x:c>
      <x:c r="F34" s="27" t="str">
        <x:v>Local counted standard fasteners are already the value choice. Compare identical material, thread, length and quantity. Avoid importing a branded assortment merely for packaging.</x:v>
      </x:c>
      <x:c r="G34" s="27" t="str">
        <x:v>Quote/selected-variant checkout needed; complete basket and delivery not observed.</x:v>
      </x:c>
      <x:c r="H34" s="27" t="str">
        <x:v>Same candidate: see previous price. No new price claim.</x:v>
      </x:c>
      <x:c r="I34" s="27" t="str">
        <x:v>Accu SSCF-M4-12-A2 family, selecting each required length; local fastener quote for exact specification</x:v>
      </x:c>
      <x:c r="J34" s="27" t="str">
        <x:v>1 · Build basics</x:v>
      </x:c>
      <x:c r="K34" s="27" t="str">
        <x:v>40 screws total: 10 each of M4×12, ×16, ×20 and ×25 mm</x:v>
      </x:c>
      <x:c r="L34" s="27" t="str">
        <x:v>hardware</x:v>
      </x:c>
      <x:c r="M34" s="25"/>
      <x:c r="N34" s="64" t="str">
        <x:v>https://www.toptool.co.il/product/אלן-עם-ראש-נירוסטה/</x:v>
      </x:c>
      <x:c r="O34" s="64" t="str">
        <x:v>https://www.accu.co.uk/metric-cap-head-screws/3839-SSCF-M4-12-A2</x:v>
      </x:c>
      <x:c r="P34" s="64" t="str">
        <x:v>https://www.toptool.co.il/product/אלן-עם-ראש-נירוסטה/</x:v>
      </x:c>
    </x:row>
    <x:row r="35" ht="84" customHeight="1">
      <x:c r="A35" s="27" t="str">
        <x:v>27</x:v>
      </x:c>
      <x:c r="B35" s="27" t="str">
        <x:v>M3 nuts and washers</x:v>
      </x:c>
      <x:c r="C35" s="27" t="str">
        <x:v>A2/304 M3 DIN 934 hex nuts + DIN 985 nylon-insert locknuts + DIN 125A/ISO 7089 flat washers; buy counted quantities from a local fastener supplier</x:v>
      </x:c>
      <x:c r="D35" s="27" t="str">
        <x:v>A2/304 M3 DIN 934 hex nuts + DIN 985 nylon-insert locknuts + DIN 125A/ISO 7089 flat washers; buy counted quantities from a local fastener supplier</x:v>
      </x:c>
      <x:c r="E35" s="66" t="str">
        <x:v>Keep</x:v>
      </x:c>
      <x:c r="F35" s="27" t="str">
        <x:v>Local counted standard fasteners are already the value choice. Compare identical material, thread, length and quantity. Avoid importing a branded assortment merely for packaging.</x:v>
      </x:c>
      <x:c r="G35" s="27" t="str">
        <x:v>Quote needed for counted A2 set; exact selected-size price not verified.</x:v>
      </x:c>
      <x:c r="H35" s="27" t="str">
        <x:v>Same candidate: see previous price. No new price claim.</x:v>
      </x:c>
      <x:c r="I35" s="27" t="str">
        <x:v>Accu HPN-M3-A2 nuts and equivalent A2 washers/locknuts in one consolidated order</x:v>
      </x:c>
      <x:c r="J35" s="27" t="str">
        <x:v>1 · Build basics</x:v>
      </x:c>
      <x:c r="K35" s="27" t="str">
        <x:v>100 nuts total = 80 plain + 20 locknuts; 200 flat washers</x:v>
      </x:c>
      <x:c r="L35" s="27" t="str">
        <x:v>hardware</x:v>
      </x:c>
      <x:c r="M35" s="25"/>
      <x:c r="N35" s="64" t="str">
        <x:v>https://www.toptool.co.il/product/326-אום-נירוסטה-304/</x:v>
      </x:c>
      <x:c r="O35" s="64" t="str">
        <x:v>https://www.accu.co.uk/hexagon-nuts/7888-HPN-M3-A2</x:v>
      </x:c>
      <x:c r="P35" s="64" t="str">
        <x:v>https://www.toptool.co.il/product/326-אום-נירוסטה-304/</x:v>
      </x:c>
    </x:row>
    <x:row r="36" ht="84" customHeight="1">
      <x:c r="A36" s="27" t="str">
        <x:v>28</x:v>
      </x:c>
      <x:c r="B36" s="27" t="str">
        <x:v>M4 nuts and washers</x:v>
      </x:c>
      <x:c r="C36" s="27" t="str">
        <x:v>A2/304 M4 DIN 934 hex nuts + DIN 985 nylon-insert locknuts + DIN 125A/ISO 7089 flat washers, counted local order</x:v>
      </x:c>
      <x:c r="D36" s="27" t="str">
        <x:v>A2/304 M4 DIN 934 hex nuts + DIN 985 nylon-insert locknuts + DIN 125A/ISO 7089 flat washers, counted local order</x:v>
      </x:c>
      <x:c r="E36" s="66" t="str">
        <x:v>Keep</x:v>
      </x:c>
      <x:c r="F36" s="27" t="str">
        <x:v>Local counted standard fasteners are already the value choice. Compare identical material, thread, length and quantity. Avoid importing a branded assortment merely for packaging.</x:v>
      </x:c>
      <x:c r="G36" s="27" t="str">
        <x:v>Quote needed; full counted set price not observed.</x:v>
      </x:c>
      <x:c r="H36" s="27" t="str">
        <x:v>Same candidate: see previous price. No new price claim.</x:v>
      </x:c>
      <x:c r="I36" s="27" t="str">
        <x:v>Accu HPN-M4-A2 nuts and matching A2 washers/locknuts</x:v>
      </x:c>
      <x:c r="J36" s="27" t="str">
        <x:v>1 · Build basics</x:v>
      </x:c>
      <x:c r="K36" s="27" t="str">
        <x:v>40 nuts total = 30 plain + 10 locknuts; 80 flat washers</x:v>
      </x:c>
      <x:c r="L36" s="27" t="str">
        <x:v>hardware</x:v>
      </x:c>
      <x:c r="M36" s="25"/>
      <x:c r="N36" s="64" t="str">
        <x:v>https://www.toptool.co.il/product/326-אום-נירוסטה-304/</x:v>
      </x:c>
      <x:c r="O36" s="64" t="str">
        <x:v>https://www.accu.co.uk/hexagon-nuts/7890-HPN-M4-A2</x:v>
      </x:c>
      <x:c r="P36" s="64" t="str">
        <x:v>https://www.toptool.co.il/product/326-אום-נירוסטה-304/</x:v>
      </x:c>
    </x:row>
    <x:row r="37" ht="105" customHeight="1">
      <x:c r="A37" s="27" t="str">
        <x:v>29</x:v>
      </x:c>
      <x:c r="B37" s="27" t="str">
        <x:v>Small board mounting hardware and M3 standoffs</x:v>
      </x:c>
      <x:c r="C37" s="27" t="str">
        <x:v>Counted nylon board-mount stock: M2 and M2.5 screws/nuts, plus M3 female–female 6/10 mm standoffs; select after measuring owned boards</x:v>
      </x:c>
      <x:c r="D37" s="27" t="str">
        <x:v>Board-mount screws and standoffs sized after the chosen kit arrives</x:v>
      </x:c>
      <x:c r="E37" s="68" t="str">
        <x:v>Reduce</x:v>
      </x:c>
      <x:c r="F37" s="27" t="str">
        <x:v>No boards are currently owned. Kit mounting hardware may cover first experiments. Grove and Arduino boards have different mounting needs.</x:v>
      </x:c>
      <x:c r="G37" s="27" t="str">
        <x:v>Counted stock quote needed; current kit prices not reliably exposed in retrieved pages.</x:v>
      </x:c>
      <x:c r="H37" s="27" t="str">
        <x:v>Quote only missing lengths and thread sizes.</x:v>
      </x:c>
      <x:c r="I37" s="27" t="str">
        <x:v>Adafruit 3299 M2.5 nylon screw/standoff set; Adafruit 4685 M3 set only if substantial M3 mounting stock is needed</x:v>
      </x:c>
      <x:c r="J37" s="27" t="str">
        <x:v>Check home first</x:v>
      </x:c>
      <x:c r="K37" s="27" t="str">
        <x:v>Target 20 each M2 and M2.5 screws with matching nuts; 20 M3 standoffs split 6/10 mm. Alternatively one matching-size kit replaces its counted items, not all kits together.</x:v>
      </x:c>
      <x:c r="L37" s="27" t="str">
        <x:v>hardware</x:v>
      </x:c>
      <x:c r="M37" s="25"/>
      <x:c r="N37" s="64" t="str">
        <x:v>https://www.adafruit.com/product/3299</x:v>
      </x:c>
      <x:c r="O37" s="64" t="str">
        <x:v>https://www.adafruit.com/product/4685</x:v>
      </x:c>
      <x:c r="P37" s="64" t="str">
        <x:v>https://www.adafruit.com/product/4685</x:v>
      </x:c>
    </x:row>
    <x:row r="38" ht="105" customHeight="1">
      <x:c r="A38" s="27" t="str">
        <x:v>30</x:v>
      </x:c>
      <x:c r="B38" s="27" t="str">
        <x:v>M3 heat-set inserts</x:v>
      </x:c>
      <x:c r="C38" s="27" t="str">
        <x:v>CNC Kitchen M3 standard, M3×5.7 mm, via Prusa; single-size pack</x:v>
      </x:c>
      <x:c r="D38" s="27" t="str">
        <x:v>CNC Kitchen M3 standard, M3×5.7 mm, via Prusa; single-size pack</x:v>
      </x:c>
      <x:c r="E38" s="66" t="str">
        <x:v>Keep</x:v>
      </x:c>
      <x:c r="F38" s="27" t="str">
        <x:v>Choose CNC Kitchen or ruthex M3 inserts by delivered pack price. Use the selected insert dimensions in CAD; do not swap geometry silently.</x:v>
      </x:c>
      <x:c r="G38" s="27" t="str">
        <x:v>Quote/current checkout needed; no dependable current price exposed.</x:v>
      </x:c>
      <x:c r="H38" s="27" t="str">
        <x:v>Same candidate: see previous price. No new price claim.</x:v>
      </x:c>
      <x:c r="I38" s="27" t="str">
        <x:v>ruthex RX-M3×5.7, single-size 100-piece pack</x:v>
      </x:c>
      <x:c r="J38" s="27" t="str">
        <x:v>1 · Build basics</x:v>
      </x:c>
      <x:c r="K38" s="27" t="str">
        <x:v>Starter need 50; observed named retail packs contain 100, so buy one 100-pack if no documented 50-pack is available; do not also buy an assortment</x:v>
      </x:c>
      <x:c r="L38" s="27" t="str">
        <x:v>hardware</x:v>
      </x:c>
      <x:c r="M38" s="25"/>
      <x:c r="N38" s="64" t="str">
        <x:v>https://www.prusa3d.com/en/product/heat-set-inserts-m3-standard-100-pcs/</x:v>
      </x:c>
      <x:c r="O38" s="64" t="str">
        <x:v>https://www.ruthex.de/products/ruthex-gewindeeinsatz-m3-100-stuck-rx-m3x5-7-messing-gewindebuchsen</x:v>
      </x:c>
      <x:c r="P38" s="64" t="str">
        <x:v>https://www.prusa3d.com/en/product/heat-set-inserts-m3-standard-100-pcs/</x:v>
      </x:c>
    </x:row>
    <x:row r="39" ht="84" customHeight="1">
      <x:c r="A39" s="27" t="str">
        <x:v>31</x:v>
      </x:c>
      <x:c r="B39" s="27" t="str">
        <x:v>Pinecil-compatible insert installation tip and adapter</x:v>
      </x:c>
      <x:c r="C39" s="27" t="str">
        <x:v>PINE64 PINECIL Threaded Insert Tips Set and Adapter, SKU PINECIL-Inserts-Set</x:v>
      </x:c>
      <x:c r="D39" s="27" t="str">
        <x:v>PINE64 PINECIL Threaded Insert Tips Set and Adapter, SKU PINECIL-Inserts-Set</x:v>
      </x:c>
      <x:c r="E39" s="66" t="str">
        <x:v>Keep</x:v>
      </x:c>
      <x:c r="F39" s="27" t="str">
        <x:v>Pinecil-compatible adapter set avoids improvising an ill-fitting installation tool. Buy only when using heat-set inserts.</x:v>
      </x:c>
      <x:c r="G39" s="27" t="str">
        <x:v>PINE64 observed community price US$14.99 (retail US$19.99). Prusa alternative observed US$24.90 on US display. Shipping/import taxes and Israel checkout totals unverified.</x:v>
      </x:c>
      <x:c r="H39" s="27" t="str">
        <x:v>Same candidate: see previous price. No new price claim.</x:v>
      </x:c>
      <x:c r="I39" s="27" t="str">
        <x:v>CNC Kitchen TS100/TS101 installation tips SET plus adapter sold by Prusa; explicitly Pinecil compatible</x:v>
      </x:c>
      <x:c r="J39" s="27" t="str">
        <x:v>1 · Build basics</x:v>
      </x:c>
      <x:c r="K39" s="27" t="str">
        <x:v>1 set; includes M3 tip and adapter; choose one of the two sets</x:v>
      </x:c>
      <x:c r="L39" s="27" t="str">
        <x:v>hardware</x:v>
      </x:c>
      <x:c r="M39" s="25"/>
      <x:c r="N39" s="64" t="str">
        <x:v>https://pine64.com/product/pinecil-threaded-insert-tips-set-and-adapter/</x:v>
      </x:c>
      <x:c r="O39" s="64" t="str">
        <x:v>https://www.prusa3d.com/en/product/ts100-101-soldering-adapter-tips-set/</x:v>
      </x:c>
      <x:c r="P39" s="64" t="str">
        <x:v>https://pine64.com/product/pinecil-threaded-insert-tips-set-and-adapter/</x:v>
      </x:c>
    </x:row>
    <x:row r="40" ht="84" customHeight="1">
      <x:c r="A40" s="27" t="str">
        <x:v>32</x:v>
      </x:c>
      <x:c r="B40" s="27" t="str">
        <x:v>Rubber feet and sheet</x:v>
      </x:c>
      <x:c r="C40" s="27" t="str">
        <x:v>Adafruit 550 Little Rubber Bumper Feet (4-pack) or equivalent small retail pack; one small 2–3 mm rubber sheet offcut from local supplier</x:v>
      </x:c>
      <x:c r="D40" s="27" t="str">
        <x:v>Small rubber-sheet offcut and a small pack of bumper feet</x:v>
      </x:c>
      <x:c r="E40" s="67" t="str">
        <x:v>Reuse</x:v>
      </x:c>
      <x:c r="F40" s="27" t="str">
        <x:v>Generic stock is acceptable when thickness, adhesion and grip suit the mechanism. Do not buy an industrial-size 3M case.</x:v>
      </x:c>
      <x:c r="G40" s="27" t="str">
        <x:v>Quote needed; exact small-pack retail price not verified. Avoid bulk-case purchasing.</x:v>
      </x:c>
      <x:c r="H40" s="27" t="str">
        <x:v>Local small-pack quote required.</x:v>
      </x:c>
      <x:c r="I40" s="27" t="str">
        <x:v>3M Bumpon SJ5302 retail sheet/strip, not manufacturer's 3,000-piece case</x:v>
      </x:c>
      <x:c r="J40" s="27" t="str">
        <x:v>1 · Build basics</x:v>
      </x:c>
      <x:c r="K40" s="27" t="str">
        <x:v>12–20 feet; one roughly A4 rubber sheet/offcut</x:v>
      </x:c>
      <x:c r="L40" s="27" t="str">
        <x:v>hardware</x:v>
      </x:c>
      <x:c r="M40" s="25"/>
      <x:c r="N40" s="64" t="str">
        <x:v>https://www.adafruit.com/product/550</x:v>
      </x:c>
      <x:c r="O40" s="64" t="str">
        <x:v>https://www.3m.com/3M/en_US/p/d/b5005035183/</x:v>
      </x:c>
      <x:c r="P40" s="64" t="str">
        <x:v>https://www.3m.com/3M/en_US/p/d/b5005035183/</x:v>
      </x:c>
    </x:row>
    <x:row r="41" ht="84" customHeight="1">
      <x:c r="A41" s="27" t="str">
        <x:v>33</x:v>
      </x:c>
      <x:c r="B41" s="27" t="str">
        <x:v>Digital multimeter</x:v>
      </x:c>
      <x:c r="C41" s="27" t="str">
        <x:v>Brymen BM235</x:v>
      </x:c>
      <x:c r="D41" s="27" t="str">
        <x:v>Brymen BM235; compare TME and Eleshop delivered prices</x:v>
      </x:c>
      <x:c r="E41" s="66" t="str">
        <x:v>Keep</x:v>
      </x:c>
      <x:c r="F41" s="27" t="str">
        <x:v>Retain this meter for now. No independently established cheaper equivalent added. Buying one sound instrument is preferable to repeated replacement.</x:v>
      </x:c>
      <x:c r="G41" s="27" t="str">
        <x:v>TME Israel latest recheck: USD112.88 net, shipping/import costs extra. Eleshop EUR86.00 excluding VAT, shipping/import costs unverified.</x:v>
      </x:c>
      <x:c r="H41" s="27" t="str">
        <x:v>Not separately priced; obtain a complete delivered quote. Earlier price notes may include this alternative.</x:v>
      </x:c>
      <x:c r="I41" s="27" t="str">
        <x:v>Same BM235 from Eleshop; compare landed totals</x:v>
      </x:c>
      <x:c r="J41" s="27" t="str">
        <x:v>2 · Electronics</x:v>
      </x:c>
      <x:c r="K41" s="27" t="str">
        <x:v>1</x:v>
      </x:c>
      <x:c r="L41" s="27" t="str">
        <x:v>electronics</x:v>
      </x:c>
      <x:c r="M41" s="25"/>
      <x:c r="N41" s="64" t="str">
        <x:v>https://www.tme.com/il/en/details/bm235/portable-digital-multimeters/brymen/</x:v>
      </x:c>
      <x:c r="O41" s="64" t="str">
        <x:v>https://eleshop.eu/brymen-bm235-multimeter.html</x:v>
      </x:c>
      <x:c r="P41" s="64" t="str">
        <x:v>https://eleshop.eu/brymen-bm235-multimeter.html</x:v>
      </x:c>
    </x:row>
    <x:row r="42" ht="84" customHeight="1">
      <x:c r="A42" s="27" t="str">
        <x:v>34</x:v>
      </x:c>
      <x:c r="B42" s="27" t="str">
        <x:v>Current-limited bench power supply</x:v>
      </x:c>
      <x:c r="C42" s="27" t="str">
        <x:v>Siglent SPD1305X</x:v>
      </x:c>
      <x:c r="D42" s="27" t="str">
        <x:v>Korad KA3005PS, safety-terminal version</x:v>
      </x:c>
      <x:c r="E42" s="65" t="str">
        <x:v>Replace</x:v>
      </x:c>
      <x:c r="F42" s="27" t="str">
        <x:v>0–30 V / 0–5 A with current limiting, output enable and USB control. Suitable lower-cost bench candidate; do not assume equal accuracy, transient behavior or support to Siglent.</x:v>
      </x:c>
      <x:c r="G42" s="27" t="str">
        <x:v>Siglent EU reference EUR249; VAT and Israel shipping treatment unverified (site free-shipping banner not confirmed for Israel). Korad EUR79 excluding VAT; Israel shipping/import costs unknown.</x:v>
      </x:c>
      <x:c r="H42" s="27" t="str">
        <x:v>EUR 79 excluding VAT at Eleshop versus Siglent EUR 249 excluding VAT. EUR 170 product-price difference. Shipping/import charges excluded.</x:v>
      </x:c>
      <x:c r="I42" s="27" t="str">
        <x:v>Korad KA3005PS safety-terminal version</x:v>
      </x:c>
      <x:c r="J42" s="27" t="str">
        <x:v>2 · Electronics</x:v>
      </x:c>
      <x:c r="K42" s="27" t="str">
        <x:v>1, choose one model</x:v>
      </x:c>
      <x:c r="L42" s="27" t="str">
        <x:v>electronics</x:v>
      </x:c>
      <x:c r="M42" s="25"/>
      <x:c r="N42" s="64" t="str">
        <x:v>https://www.siglent.eu/product/1140972/siglent-spd1305x-0-to-30v-0-to-5amp-single-output-power-supply</x:v>
      </x:c>
      <x:c r="O42" s="64" t="str">
        <x:v>https://eleshop.eu/korad-ka3005ps-power-supply-safety-terminals.html</x:v>
      </x:c>
      <x:c r="P42" s="64" t="str">
        <x:v>https://eleshop.eu/korad-ka3005ps-power-supply-safety-terminals.html
https://eleshop.eu/siglent-spd1305x-power-supply.html</x:v>
      </x:c>
    </x:row>
    <x:row r="43" ht="84" customHeight="1">
      <x:c r="A43" s="27" t="str">
        <x:v>35</x:v>
      </x:c>
      <x:c r="B43" s="27" t="str">
        <x:v>Temperature-controlled soldering iron</x:v>
      </x:c>
      <x:c r="C43" s="27" t="str">
        <x:v>PINE64 Pinecil V2 / PINECIL-BB2</x:v>
      </x:c>
      <x:c r="D43" s="27" t="str">
        <x:v>PINE64 Pinecil V2 / PINECIL-BB2</x:v>
      </x:c>
      <x:c r="E43" s="66" t="str">
        <x:v>Keep</x:v>
      </x:c>
      <x:c r="F43" s="27" t="str">
        <x:v>Pinecil V2 was already a value-oriented choice. Include compatible power, cable and stand when comparing iron prices.</x:v>
      </x:c>
      <x:c r="G43" s="27" t="str">
        <x:v>USD25.99 official community price; retail referenceUSD35.99. Shipping/import taxes unknown.</x:v>
      </x:c>
      <x:c r="H43" s="27" t="str">
        <x:v>Same candidate: see previous price. No new price claim.</x:v>
      </x:c>
      <x:c r="I43" s="27" t="str">
        <x:v>Same genuine iron via authorized reseller if shipping/support preferable</x:v>
      </x:c>
      <x:c r="J43" s="27" t="str">
        <x:v>2 · Electronics</x:v>
      </x:c>
      <x:c r="K43" s="27" t="str">
        <x:v>1</x:v>
      </x:c>
      <x:c r="L43" s="27" t="str">
        <x:v>electronics</x:v>
      </x:c>
      <x:c r="M43" s="25"/>
      <x:c r="N43" s="64" t="str">
        <x:v>https://pine64.com/product/pinecil-smart-mini-portable-soldering-iron/</x:v>
      </x:c>
      <x:c r="O43" s="64" t="str">
        <x:v>https://pine64.org/documentation/Pinecil/_full/</x:v>
      </x:c>
      <x:c r="P43" s="64" t="str">
        <x:v>https://pine64.com/product/pinecil-smart-mini-portable-soldering-iron/</x:v>
      </x:c>
    </x:row>
    <x:row r="44" ht="84" customHeight="1">
      <x:c r="A44" s="27" t="str">
        <x:v>36</x:v>
      </x:c>
      <x:c r="B44" s="27" t="str">
        <x:v>USB-C PD soldering power supply</x:v>
      </x:c>
      <x:c r="C44" s="27" t="str">
        <x:v>PinePower65W GaN2C1A charger with international plugs / PPOWER-GANCHG2</x:v>
      </x:c>
      <x:c r="D44" s="27" t="str">
        <x:v>Existing genuine USB-C PD charger with 20 V and at least 65 W on one port</x:v>
      </x:c>
      <x:c r="E44" s="67" t="str">
        <x:v>Reuse</x:v>
      </x:c>
      <x:c r="F44" s="27" t="str">
        <x:v>Check its output label and shared-port limits. Buy PinePower only if no compatible charger is available.</x:v>
      </x:c>
      <x:c r="G44" s="27" t="str">
        <x:v>USD24.99; shipping/import taxes unknown.</x:v>
      </x:c>
      <x:c r="H44" s="27" t="str">
        <x:v>Zero extra purchase if compatible charger is owned; otherwise retain original charger quote.</x:v>
      </x:c>
      <x:c r="I44" s="27" t="str">
        <x:v>Reuse existing genuine USB-C PD charger offering20V and at least65W on one port</x:v>
      </x:c>
      <x:c r="J44" s="27" t="str">
        <x:v>Check home first</x:v>
      </x:c>
      <x:c r="K44" s="27" t="str">
        <x:v>1, only if existing charger insufficient</x:v>
      </x:c>
      <x:c r="L44" s="27" t="str">
        <x:v>electronics</x:v>
      </x:c>
      <x:c r="M44" s="25"/>
      <x:c r="N44" s="64" t="str">
        <x:v>https://pine64.com/product/pinepower-65w-gan-2c1a-charger-with-international-plugs/</x:v>
      </x:c>
      <x:c r="O44" s="64" t="str">
        <x:v>https://pine64.org/documentation/Pinecil/Checklist/</x:v>
      </x:c>
      <x:c r="P44" s="64" t="str">
        <x:v>https://pine64.org/documentation/Pinecil/Checklist/</x:v>
      </x:c>
    </x:row>
    <x:row r="45" ht="84" customHeight="1">
      <x:c r="A45" s="27" t="str">
        <x:v>37</x:v>
      </x:c>
      <x:c r="B45" s="27" t="str">
        <x:v>Heat-resistant soldering USB cable</x:v>
      </x:c>
      <x:c r="C45" s="27" t="str">
        <x:v>PINE64 silicone USB-C to USB-C1.5m / PINECIL-CC1M5</x:v>
      </x:c>
      <x:c r="D45" s="27" t="str">
        <x:v>PINE64 silicone USB-C to USB-C1.5m / PINECIL-CC1M5</x:v>
      </x:c>
      <x:c r="E45" s="66" t="str">
        <x:v>Keep</x:v>
      </x:c>
      <x:c r="F45" s="27" t="str">
        <x:v>Heat-resistant flexible cable is useful near the iron. Choose the shorter official cable only if it comfortably reaches the bench.</x:v>
      </x:c>
      <x:c r="G45" s="27" t="str">
        <x:v>USD3.99 for1.5m;1m alternativeUSD3.49. Shipping/import taxes unknown.</x:v>
      </x:c>
      <x:c r="H45" s="27" t="str">
        <x:v>Same candidate: see previous price. No new price claim.</x:v>
      </x:c>
      <x:c r="I45" s="27" t="str">
        <x:v>Same official silicone cable1m / PINECIL-CC1M</x:v>
      </x:c>
      <x:c r="J45" s="27" t="str">
        <x:v>2 · Electronics</x:v>
      </x:c>
      <x:c r="K45" s="27" t="str">
        <x:v>1</x:v>
      </x:c>
      <x:c r="L45" s="27" t="str">
        <x:v>electronics</x:v>
      </x:c>
      <x:c r="M45" s="25"/>
      <x:c r="N45" s="64" t="str">
        <x:v>https://pine64.com/product/usb-type-c-to-usb-type-c-silicone-power-charging-cable-1-5-meter-length/</x:v>
      </x:c>
      <x:c r="O45" s="64" t="str">
        <x:v>https://pine64.com/product-category/pinecil/</x:v>
      </x:c>
      <x:c r="P45" s="64" t="str">
        <x:v>https://pine64.com/product/usb-type-c-to-usb-type-c-silicone-power-charging-cable-1-5-meter-length/</x:v>
      </x:c>
    </x:row>
    <x:row r="46" ht="84" customHeight="1">
      <x:c r="A46" s="27" t="str">
        <x:v>38</x:v>
      </x:c>
      <x:c r="B46" s="27" t="str">
        <x:v>Iron stand and brass cleaner</x:v>
      </x:c>
      <x:c r="C46" s="27" t="str">
        <x:v>Hakko FH300-01/P weighted stand + Hakko599B brass tip cleaner</x:v>
      </x:c>
      <x:c r="D46" s="27" t="str">
        <x:v>Hakko FH300-01/P weighted stand + Hakko599B brass tip cleaner</x:v>
      </x:c>
      <x:c r="E46" s="66" t="str">
        <x:v>Keep</x:v>
      </x:c>
      <x:c r="F46" s="27" t="str">
        <x:v>Keep a stable weighted stand and brass cleaner. The much lighter mini stand is less convenient and must be secured; saving is not worth a tippy setup.</x:v>
      </x:c>
      <x:c r="G46" s="27" t="str">
        <x:v>FH300 retailer referenceUSD14.41; Hakko brass cleaner AdafruitUSD10.95, total referenceUSD25.36 before shipping/taxes. PINECIL mini standUSD1.99.</x:v>
      </x:c>
      <x:c r="H46" s="27" t="str">
        <x:v>Same candidate: see previous price. No new price claim.</x:v>
      </x:c>
      <x:c r="I46" s="27" t="str">
        <x:v>PINECIL Portable Mini Stand + same brass cleaner; small18g stand needs a stable secured location</x:v>
      </x:c>
      <x:c r="J46" s="27" t="str">
        <x:v>Confirm fit / SKU</x:v>
      </x:c>
      <x:c r="K46" s="27" t="str">
        <x:v>1 stand +1 cleaner</x:v>
      </x:c>
      <x:c r="L46" s="27" t="str">
        <x:v>electronics</x:v>
      </x:c>
      <x:c r="M46" s="25"/>
      <x:c r="N46" s="64" t="str">
        <x:v>https://www.tequipment.net/Hakko/FH300-01/Soldering-Accessories</x:v>
      </x:c>
      <x:c r="O46" s="64" t="str">
        <x:v>https://pine64.com/product/pinecil-portable-mini-stand/</x:v>
      </x:c>
      <x:c r="P46" s="64" t="str">
        <x:v>https://www.tequipment.net/Hakko/FH300-01/Soldering-Accessories</x:v>
      </x:c>
    </x:row>
    <x:row r="47" ht="84" customHeight="1">
      <x:c r="A47" s="27" t="str">
        <x:v>39</x:v>
      </x:c>
      <x:c r="B47" s="27" t="str">
        <x:v>Chisel soldering cartridge</x:v>
      </x:c>
      <x:c r="C47" s="27" t="str">
        <x:v>PINECIL Soldering Short Tip Set(Gross) / PINECIL-TIPS3</x:v>
      </x:c>
      <x:c r="D47" s="27" t="str">
        <x:v>One genuine Pinecil-compatible ST-D24 chisel cartridge, if sold singly</x:v>
      </x:c>
      <x:c r="E47" s="68" t="str">
        <x:v>Reduce</x:v>
      </x:c>
      <x:c r="F47" s="27" t="str">
        <x:v>A four-tip pack is optional. Compare the single tip plus shipping against the complete set; do not fit an incompatible cartridge.</x:v>
      </x:c>
      <x:c r="G47" s="27" t="str">
        <x:v>USD25.99 for4-tip set; individualST-D24 price not verified. Shipping/import taxes unknown.</x:v>
      </x:c>
      <x:c r="H47" s="27" t="str">
        <x:v>Single-tip delivered quote required. Earlier four-tip pack quote retained for comparison.</x:v>
      </x:c>
      <x:c r="I47" s="27" t="str">
        <x:v>Buy one genuineST-D24 if authorized seller offers it individually</x:v>
      </x:c>
      <x:c r="J47" s="27" t="str">
        <x:v>2 · Electronics</x:v>
      </x:c>
      <x:c r="K47" s="27" t="str">
        <x:v>1 set, not4 sets</x:v>
      </x:c>
      <x:c r="L47" s="27" t="str">
        <x:v>electronics</x:v>
      </x:c>
      <x:c r="M47" s="25"/>
      <x:c r="N47" s="64" t="str">
        <x:v>https://pine64.com/product/pinecil-soldering-short-tip-set-gross/</x:v>
      </x:c>
      <x:c r="O47" s="64" t="str">
        <x:v>https://wiki.pine64.org/wiki/Pinecil_Tips</x:v>
      </x:c>
      <x:c r="P47" s="64" t="str">
        <x:v>https://wiki.pine64.org/wiki/Pinecil_Tips</x:v>
      </x:c>
    </x:row>
    <x:row r="48" ht="84" customHeight="1">
      <x:c r="A48" s="27" t="str">
        <x:v>40</x:v>
      </x:c>
      <x:c r="B48" s="27" t="str">
        <x:v>PCB holding fixture</x:v>
      </x:c>
      <x:c r="C48" s="27" t="str">
        <x:v>Pro'sKit SN-390 / Adafruit3791</x:v>
      </x:c>
      <x:c r="D48" s="27" t="str">
        <x:v>Use the existing vise with soft jaws for initial boards; Proskit SN-390 when repeated PCB work starts</x:v>
      </x:c>
      <x:c r="E48" s="66" t="str">
        <x:v>Defer</x:v>
      </x:c>
      <x:c r="F48" s="27" t="str">
        <x:v>Secure the board without crushing parts. A dedicated holder improves access but duplicates the initial holding function.</x:v>
      </x:c>
      <x:c r="G48" s="27" t="str">
        <x:v>USD19.95; shipping/import taxes unknown. Alternative price not verified.</x:v>
      </x:c>
      <x:c r="H48" s="27" t="str">
        <x:v>No extra purchase if vise is suitable.</x:v>
      </x:c>
      <x:c r="I48" s="27" t="str">
        <x:v>Stickvise PCB Vise / Adafruit3197 for flatter compact work</x:v>
      </x:c>
      <x:c r="J48" s="27" t="str">
        <x:v>2 · Electronics</x:v>
      </x:c>
      <x:c r="K48" s="27" t="str">
        <x:v>1 Buy only when needed.</x:v>
      </x:c>
      <x:c r="L48" s="27" t="str">
        <x:v>electronics</x:v>
      </x:c>
      <x:c r="M48" s="25"/>
      <x:c r="N48" s="64" t="str">
        <x:v>https://www.adafruit.com/product/3791</x:v>
      </x:c>
      <x:c r="O48" s="64" t="str">
        <x:v>https://www.adafruit.com/product/3197</x:v>
      </x:c>
      <x:c r="P48" s="64" t="str">
        <x:v>https://www.adafruit.com/product/3197</x:v>
      </x:c>
    </x:row>
    <x:row r="49" ht="84" customHeight="1">
      <x:c r="A49" s="27" t="str">
        <x:v>41</x:v>
      </x:c>
      <x:c r="B49" s="27" t="str">
        <x:v>Silicone soldering mat</x:v>
      </x:c>
      <x:c r="C49" s="27" t="str">
        <x:v>Adafruit3536 insulated silicone rework mat34×23cm</x:v>
      </x:c>
      <x:c r="D49" s="27" t="str">
        <x:v>Adafruit3536 insulated silicone rework mat34×23cm</x:v>
      </x:c>
      <x:c r="E49" s="66" t="str">
        <x:v>Keep</x:v>
      </x:c>
      <x:c r="F49" s="27" t="str">
        <x:v>A modest heat-resistant silicone mat is enough. A larger mat and an ESD mat serve different purposes.</x:v>
      </x:c>
      <x:c r="G49" s="27" t="str">
        <x:v>USD9.95; shipping/import taxes unknown.</x:v>
      </x:c>
      <x:c r="H49" s="27" t="str">
        <x:v>Same candidate: see previous price. No new price claim.</x:v>
      </x:c>
      <x:c r="I49" s="27" t="str">
        <x:v>Larger equivalent only if stated heat-resistant; ESD mat is a different item</x:v>
      </x:c>
      <x:c r="J49" s="27" t="str">
        <x:v>2 · Electronics</x:v>
      </x:c>
      <x:c r="K49" s="27" t="str">
        <x:v>1</x:v>
      </x:c>
      <x:c r="L49" s="27" t="str">
        <x:v>electronics</x:v>
      </x:c>
      <x:c r="M49" s="25"/>
      <x:c r="N49" s="64" t="str">
        <x:v>https://www.adafruit.com/product/3536</x:v>
      </x:c>
      <x:c r="O49" s="64" t="str">
        <x:v>https://www.adafruit.com/product/4405</x:v>
      </x:c>
      <x:c r="P49" s="64" t="str">
        <x:v>https://www.adafruit.com/product/3536</x:v>
      </x:c>
    </x:row>
    <x:row r="50" ht="84" customHeight="1">
      <x:c r="A50" s="27" t="str">
        <x:v>42</x:v>
      </x:c>
      <x:c r="B50" s="27" t="str">
        <x:v>Solder fume capture and filtration</x:v>
      </x:c>
      <x:c r="C50" s="27" t="str">
        <x:v>Weller ZeroSmog Shield Pro FT91019299</x:v>
      </x:c>
      <x:c r="D50" s="27" t="str">
        <x:v>Compare Weller ZeroSmog Shield Pro against a complete window-ducted source-capture installation</x:v>
      </x:c>
      <x:c r="E50" s="69" t="str">
        <x:v>Quote</x:v>
      </x:c>
      <x:c r="F50" s="27" t="str">
        <x:v>A nearby window makes a ducted solution worth quoting. Fan, capture inlet, duct and window fitting must work together. A carbon-foam desk fan is not an equivalent substitute.</x:v>
      </x:c>
      <x:c r="G50" s="27" t="str">
        <x:v>ManufacturerEUR266 excluding tax; Polish retailer referenceEUR327.18 incl23%tax, excludes shipping. HLT Israel price/stock quote required. Existing₪1000 figure is an UNQUOTED allowance, not verified landed price.</x:v>
      </x:c>
      <x:c r="H50" s="27" t="str">
        <x:v>Complete installed extraction quote required. No cheaper system or savings verified.</x:v>
      </x:c>
      <x:c r="I50" s="27" t="str">
        <x:v>Weller ZeroSmogTL Kit1,230V configuration, for articulated-arm source capture; quote complete kit</x:v>
      </x:c>
      <x:c r="J50" s="27" t="str">
        <x:v>Get local quote</x:v>
      </x:c>
      <x:c r="K50" s="27" t="str">
        <x:v>1 unit with installedFT91000047 filter and power supply; spare filter optional</x:v>
      </x:c>
      <x:c r="L50" s="27" t="str">
        <x:v>electronics</x:v>
      </x:c>
      <x:c r="M50" s="25"/>
      <x:c r="N50" s="64" t="str">
        <x:v>https://hlt.co.il/shop/%D7%A6%D7%99%D7%95%D7%93-%D7%94%D7%9C%D7%97%D7%9E%D7%94/%D7%94%D7%9C%D7%97%D7%9E%D7%94/%D7%A9%D7%95%D7%90%D7%91-%D7%A2%D7%A9%D7%9F-%D7%A9%D7%95%D7%9C%D7%97%D7%A0%D7%99/</x:v>
      </x:c>
      <x:c r="O50" s="64" t="str">
        <x:v>https://www.weller-tools.com/us/en/product_datasheet?nid=5751</x:v>
      </x:c>
      <x:c r="P50" s="64" t="str">
        <x:v>https://www.weller-tools.com/us/en/product_datasheet?nid=5751</x:v>
      </x:c>
    </x:row>
    <x:row r="51" ht="90" customHeight="1">
      <x:c r="A51" s="27" t="str">
        <x:v>43</x:v>
      </x:c>
      <x:c r="B51" s="27" t="str">
        <x:v>Wire stripper</x:v>
      </x:c>
      <x:c r="C51" s="27" t="str">
        <x:v>Pro'sKit 8PK-3001D manual wire stripper, 20–30 AWG</x:v>
      </x:c>
      <x:c r="D51" s="27" t="str">
        <x:v>Proskit 8PK-3001D manual stripper, 20–30 AWG</x:v>
      </x:c>
      <x:c r="E51" s="66" t="str">
        <x:v>Keep</x:v>
      </x:c>
      <x:c r="F51" s="27" t="str">
        <x:v>This already replaced the earlier Knipex ComStrip recommendation and fits fine signal wires. Knipex 10–24 AWG is a supplemental tool for different wire sizes.</x:v>
      </x:c>
      <x:c r="G51" s="27" t="str">
        <x:v>Pro’sKit: local quote needed. Optional Knipex reference ₪296.93 excluding VAT / ₪350.38 including VAT at DigiKey Israel; shipping unverified.</x:v>
      </x:c>
      <x:c r="H51" s="27" t="str">
        <x:v>Not separately priced; obtain a complete delivered quote. Earlier price notes may include this alternative.</x:v>
      </x:c>
      <x:c r="I51" s="27" t="str">
        <x:v>Knipex ComStrip 12 62 180 for repeated 10–24 AWG work; supplemental, not a replacement for fine-wire capability Earlier original: Knipex ComStrip12 62 180. Earlier quote: ILS 350.38 including VAT at DigiKey, delivery separate.</x:v>
      </x:c>
      <x:c r="J51" s="27" t="str">
        <x:v>2 · Electronics</x:v>
      </x:c>
      <x:c r="K51" s="27" t="str">
        <x:v>1 manual stripper initially</x:v>
      </x:c>
      <x:c r="L51" s="27" t="str">
        <x:v>electronics</x:v>
      </x:c>
      <x:c r="M51" s="25"/>
      <x:c r="N51" s="64" t="str">
        <x:v>https://shop.prokits.com.tw/handtools/moreinfo_5636.htm</x:v>
      </x:c>
      <x:c r="O51" s="64" t="str">
        <x:v>https://www.digikey.co.il/en/products/detail/knipex-tools-lp/12-62-180/10451692
https://www.belshop.co.il/items/6647593-%D7%9E%D7%A1%D7%99%D7%A8-%D7%91%D7%99%D7%93%D7%95%D7%93-%D7%A2%D7%9D-%D7%A7%D7%95%D7%A6%D7%A5-%D7%97%D7%95%D7%98%D7%99%D7%9D-PROSKIT-%D7%A2%D7%95%D7%91%D7%99-%D7%97%D7%95%D7%98-0-2-0-8-%D7%9E-%D7%9E</x:v>
      </x:c>
      <x:c r="P51" s="64" t="str">
        <x:v>https://www.digikey.co.il/en/products/detail/knipex-tools-lp/12-62-180/10451692
https://www.belshop.co.il/items/6647593-%D7%9E%D7%A1%D7%99%D7%A8-%D7%91%D7%99%D7%93%D7%95%D7%93-%D7%A2%D7%9D-%D7%A7%D7%95%D7%A6%D7%A5-%D7%97%D7%95%D7%98%D7%99%D7%9D-PROSKIT-%D7%A2%D7%95%D7%91%D7%99-%D7%97%D7%95%D7%98-0-2-0-8-%D7%9E-%D7%9E</x:v>
      </x:c>
    </x:row>
    <x:row r="52" ht="135" customHeight="1">
      <x:c r="A52" s="27" t="str">
        <x:v>44</x:v>
      </x:c>
      <x:c r="B52" s="27" t="str">
        <x:v>Controlled hot-air tool for heat-shrink</x:v>
      </x:c>
      <x:c r="C52" s="27" t="str">
        <x:v>Steinel PRO HM2120E,220–230V,EAN4007841089603</x:v>
      </x:c>
      <x:c r="D52" s="27" t="str">
        <x:v>Pro'sKit SS-628F mini heat gun, 230/240 V, 250/500 W</x:v>
      </x:c>
      <x:c r="E52" s="68" t="str">
        <x:v>Conditional</x:v>
      </x:c>
      <x:c r="F52" s="27" t="str">
        <x:v>Conditional value substitution for occasional heat-shrink work. Keep Steinel when controlled lower-temperature heating or broader workshop use matters. Only 350°C and 500°C settings, versus Steinel HM2120E's broader adjustable range. Manufacturer manual confirms SS-628F 230/240 V, 150/300 L/min and one reflector nozzle. No precise SMD rework control; protect nearby prints. Buy F voltage version, not 110–120 V A version; verify plug compatibility.</x:v>
      </x:c>
      <x:c r="G52" s="27" t="str">
        <x:v>Current price not verified—obtain quote. Discard₪274 webpage deal: explicitly dated2021, not current.</x:v>
      </x:c>
      <x:c r="H52" s="27" t="str">
        <x:v>EUR 19.18 online at Castro Electrónica, VAT included; EUR 22 shop price. Listed available in 2–5 working days for its market; Israel shipping, import costs and delivery unconfirmed.</x:v>
      </x:c>
      <x:c r="I52" s="27" t="str">
        <x:v>OlderSteinel HG2120E230V if locally stocked at better price</x:v>
      </x:c>
      <x:c r="J52" s="27" t="str">
        <x:v>When needed</x:v>
      </x:c>
      <x:c r="K52" s="27" t="str">
        <x:v>1; add matching reflector nozzle only if useful</x:v>
      </x:c>
      <x:c r="L52" s="27" t="str">
        <x:v>electronics</x:v>
      </x:c>
      <x:c r="M52" s="25"/>
      <x:c r="N52" s="64" t="str">
        <x:v>https://www.steinel-tools.de/en/products/hot-air/heat-guns/gun-type-tools/pro-hm-2120-e-089603.html</x:v>
      </x:c>
      <x:c r="O52" s="64" t="str">
        <x:v>https://www.tme.eu/en/details/hg2120e/hot-air-guns-and-accessories/steinel/hg-2120-e/</x:v>
      </x:c>
      <x:c r="P52" s="64" t="str">
        <x:v>https://www.castroelectronica.es/en/product/mini-pistola-de-ar-quente-250w500w--proskit
https://www.castroelectronica.es/en/product/mini-pistola-de-ar-quente-250w500w--proskit
https://www.proskit.com/Product/SS-628F?hl=en-US
https://www.proskit.com/Files/36adc07f-1b92-4a02-a078-6562d2ee767d</x:v>
      </x:c>
    </x:row>
    <x:row r="53" ht="84" customHeight="1">
      <x:c r="A53" s="27" t="str">
        <x:v>45</x:v>
      </x:c>
      <x:c r="B53" s="27" t="str">
        <x:v>Solderless breadboards</x:v>
      </x:c>
      <x:c r="C53" s="27" t="str">
        <x:v>Adafruit239 full-size830 tie-point breadboard</x:v>
      </x:c>
      <x:c r="D53" s="27" t="str">
        <x:v>One Adafruit 239 full-size breadboard initially</x:v>
      </x:c>
      <x:c r="E53" s="68" t="str">
        <x:v>Reduce</x:v>
      </x:c>
      <x:c r="F53" s="27" t="str">
        <x:v>Grove kit modules are preconnected, but a separate breadboard is still useful for custom circuits. Add more only when simultaneous prototypes need them.</x:v>
      </x:c>
      <x:c r="G53" s="27" t="str">
        <x:v>USD5.95 each;USD11.90 for2; shipping/import taxes unknown. Alternative price unverified.</x:v>
      </x:c>
      <x:c r="H53" s="27" t="str">
        <x:v>Not separately priced; obtain a complete delivered quote. Earlier price notes may include this alternative.</x:v>
      </x:c>
      <x:c r="I53" s="27" t="str">
        <x:v>Adafruit4539 half-size400tie-point board for smaller modules</x:v>
      </x:c>
      <x:c r="J53" s="27" t="str">
        <x:v>2 · Electronics</x:v>
      </x:c>
      <x:c r="K53" s="27" t="str">
        <x:v>2 full-size boards</x:v>
      </x:c>
      <x:c r="L53" s="27" t="str">
        <x:v>electronics</x:v>
      </x:c>
      <x:c r="M53" s="25"/>
      <x:c r="N53" s="64" t="str">
        <x:v>https://www.adafruit.com/product/239</x:v>
      </x:c>
      <x:c r="O53" s="64" t="str">
        <x:v>https://www.adafruit.com/product/4539</x:v>
      </x:c>
      <x:c r="P53" s="64" t="str">
        <x:v>https://www.adafruit.com/product/4539</x:v>
      </x:c>
    </x:row>
    <x:row r="54" ht="84" customHeight="1">
      <x:c r="A54" s="27" t="str">
        <x:v>46</x:v>
      </x:c>
      <x:c r="B54" s="27" t="str">
        <x:v>Durable prototyping boards</x:v>
      </x:c>
      <x:c r="C54" s="27" t="str">
        <x:v>Adafruit571 Perma-Proto half-size3-pack</x:v>
      </x:c>
      <x:c r="D54" s="27" t="str">
        <x:v>One Adafruit 1609 Perma-Proto half-size board initially</x:v>
      </x:c>
      <x:c r="E54" s="68" t="str">
        <x:v>Reduce</x:v>
      </x:c>
      <x:c r="F54" s="27" t="str">
        <x:v>One board is enough for the first soldered circuit or servo hookup. The three-pack remains sensible if shipping makes it cheaper overall.</x:v>
      </x:c>
      <x:c r="G54" s="27" t="str">
        <x:v>USD12.50 per3-pack; singleUSD4.50 but currently out of stock. Shipping/import taxes unknown.</x:v>
      </x:c>
      <x:c r="H54" s="27" t="str">
        <x:v>Compare single-board and three-pack delivered price.</x:v>
      </x:c>
      <x:c r="I54" s="27" t="str">
        <x:v>Adafruit1609 single board when only one is needed</x:v>
      </x:c>
      <x:c r="J54" s="27" t="str">
        <x:v>2 · Electronics</x:v>
      </x:c>
      <x:c r="K54" s="27" t="str">
        <x:v>1 pack =3 boards</x:v>
      </x:c>
      <x:c r="L54" s="27" t="str">
        <x:v>electronics</x:v>
      </x:c>
      <x:c r="M54" s="25"/>
      <x:c r="N54" s="64" t="str">
        <x:v>https://www.adafruit.com/product/571</x:v>
      </x:c>
      <x:c r="O54" s="64" t="str">
        <x:v>https://www.adafruit.com/product/1609</x:v>
      </x:c>
      <x:c r="P54" s="64" t="str">
        <x:v>https://www.adafruit.com/product/1609</x:v>
      </x:c>
    </x:row>
    <x:row r="55" ht="84" customHeight="1">
      <x:c r="A55" s="27" t="str">
        <x:v>47</x:v>
      </x:c>
      <x:c r="B55" s="27" t="str">
        <x:v>Bench supply-to-load lead kit</x:v>
      </x:c>
      <x:c r="C55" s="27" t="str">
        <x:v>Pomona 5907A red/black 4 mm shrouded banana lead pair + Pomona 5916B/POM insulated alligator clip pair</x:v>
      </x:c>
      <x:c r="D55" s="27" t="str">
        <x:v>Pomona 5907A red/black 4 mm shrouded banana lead pair + Pomona 5916B/POM insulated alligator clip pair</x:v>
      </x:c>
      <x:c r="E55" s="66" t="str">
        <x:v>Keep</x:v>
      </x:c>
      <x:c r="F55" s="27" t="str">
        <x:v>Retain documented current-rated supply leads. Korad listing includes power and USB cables, not a confirmed load-lead set, so this row is still needed.</x:v>
      </x:c>
      <x:c r="G55" s="27" t="str">
        <x:v>Quote needed for complete basket; no verified complete current Israeli price.</x:v>
      </x:c>
      <x:c r="H55" s="27" t="str">
        <x:v>Same candidate: see previous price. No new price claim.</x:v>
      </x:c>
      <x:c r="I55" s="27" t="str">
        <x:v>Use the supply's included leads only if their documented current rating is at least 5 A and terminations fit the load; otherwise buy the same Pomona basket via Farnell Israel</x:v>
      </x:c>
      <x:c r="J55" s="27" t="str">
        <x:v>2 · Electronics</x:v>
      </x:c>
      <x:c r="K55" s="27" t="str">
        <x:v>1 lead pair + 1 clip pair</x:v>
      </x:c>
      <x:c r="L55" s="27" t="str">
        <x:v>wiring</x:v>
      </x:c>
      <x:c r="M55" s="25"/>
      <x:c r="N55" s="64" t="str">
        <x:v>https://www.pomonaelectronics.com/sites/default/files/d5907A-5908A-5909A_100.pdf</x:v>
      </x:c>
      <x:c r="O55" s="64" t="str">
        <x:v>https://il.farnell.com/pomona/5916b-pom/alligator-clip-4mm-banana-plug/dp/2917830
https://www.pomonaelectronics.com/sites/default/files/d5916B_001.pdf
https://www.newark.com/pomona/5907a/test-lead-set-blk-red-1-219m-1kv/dp/95F1291</x:v>
      </x:c>
      <x:c r="P55" s="64" t="str">
        <x:v>https://www.pomonaelectronics.com/sites/default/files/d5907A-5908A-5909A_100.pdf</x:v>
      </x:c>
    </x:row>
    <x:row r="56" ht="84" customHeight="1">
      <x:c r="A56" s="27" t="str">
        <x:v>48</x:v>
      </x:c>
      <x:c r="B56" s="27" t="str">
        <x:v>Insulated small-circuit grabber leads</x:v>
      </x:c>
      <x:c r="C56" s="27" t="str">
        <x:v>Pomona Minigrabber-to-banana 24-inch lead pair: red Adafruit #2607 + black #2606</x:v>
      </x:c>
      <x:c r="D56" s="27" t="str">
        <x:v>Standard meter probes first; add Pomona grabbers when hands-free measurements are needed</x:v>
      </x:c>
      <x:c r="E56" s="66" t="str">
        <x:v>Defer</x:v>
      </x:c>
      <x:c r="F56" s="27" t="str">
        <x:v>Do not confuse multimeter banana grabbers with logic-analyzer clip leads. Probe stability may justify buying the pair early.</x:v>
      </x:c>
      <x:c r="G56" s="27" t="str">
        <x:v>Preferred red/black Pomona pair: quote needed. Optional Digilent five-pack US$11.00 before shipping/tax.</x:v>
      </x:c>
      <x:c r="H56" s="27" t="str">
        <x:v>Not separately priced; obtain a complete delivered quote. Earlier price notes may include this alternative.</x:v>
      </x:c>
      <x:c r="I56" s="27" t="str">
        <x:v>Digilent Mini Grabber Test Clips with Leads 240-137, five-pack, for future compatible logic instruments</x:v>
      </x:c>
      <x:c r="J56" s="27" t="str">
        <x:v>2 · Electronics</x:v>
      </x:c>
      <x:c r="K56" s="27" t="str">
        <x:v>1 red/black pair if needed; defer separate analyzer clips Buy only when needed.</x:v>
      </x:c>
      <x:c r="L56" s="27" t="str">
        <x:v>wiring</x:v>
      </x:c>
      <x:c r="M56" s="25"/>
      <x:c r="N56" s="64" t="str">
        <x:v>https://www.adafruit.com/product/2607</x:v>
      </x:c>
      <x:c r="O56" s="64" t="str">
        <x:v>https://digilent.com/shop/mini-grabber-test-clips-with-leads/
https://www.adafruit.com/product/2606</x:v>
      </x:c>
      <x:c r="P56" s="64" t="str">
        <x:v>https://digilent.com/shop/mini-grabber-test-clips-with-leads/
https://www.adafruit.com/product/2606</x:v>
      </x:c>
    </x:row>
    <x:row r="57" ht="105" customHeight="1">
      <x:c r="A57" s="27" t="str">
        <x:v>49</x:v>
      </x:c>
      <x:c r="B57" s="27" t="str">
        <x:v>Known-good USB data cables</x:v>
      </x:c>
      <x:c r="C57" s="27" t="str">
        <x:v>SparkFun CAB-16905 USB2.0 Type-C to Type-C1m</x:v>
      </x:c>
      <x:c r="D57" s="27" t="str">
        <x:v>Use the programming cable supplied with the selected starter kit</x:v>
      </x:c>
      <x:c r="E57" s="67" t="str">
        <x:v>Included</x:v>
      </x:c>
      <x:c r="F57" s="27" t="str">
        <x:v>Use the USB cable included with the chosen kit. Older Grove kits use Micro-B; the current manual describes a revised USB cable. Verify received board revision before buying a spare.</x:v>
      </x:c>
      <x:c r="G57" s="27" t="str">
        <x:v>4project CAB-16905 ILS 42.60 each including VAT, shipping extra. Stock quantity not readable. Alternative WS-25003 ILS 13.77 each incl VAT sale (seller data claim; manufacturer specification not independently verified). Checked 2026-09-29.</x:v>
      </x:c>
      <x:c r="H57" s="27" t="str">
        <x:v>Included with selected kit. Do not buy a duplicate on day one.</x:v>
      </x:c>
      <x:c r="I57" s="27" t="str">
        <x:v>For Micro-B boards: Adafruit #3879 USB-C to Micro-B 0.3 m; select another length or distributor if needed. Earlier USB-B-board example: StarTech USB2CB1M C-to-B, 1 m. Not for the currently proposed USB-C boards; choose by the actual connector.</x:v>
      </x:c>
      <x:c r="J57" s="27" t="str">
        <x:v>Optional spare</x:v>
      </x:c>
      <x:c r="K57" s="27" t="str">
        <x:v>0 initially; 1 cable already in B1 No separate initial purchase.</x:v>
      </x:c>
      <x:c r="L57" s="27" t="str">
        <x:v>wiring</x:v>
      </x:c>
      <x:c r="M57" s="25"/>
      <x:c r="N57" s="64" t="str">
        <x:v>https://www.sparkfun.com/usb-2-0-type-c-cable-1-meter.html</x:v>
      </x:c>
      <x:c r="O57" s="64" t="str">
        <x:v>https://www.4project.co.il/section/usb-cables</x:v>
      </x:c>
      <x:c r="P57" s="64" t="str">
        <x:v>https://wiki.seeedstudio.com/Grove-Beginner-Kit-For-Arduino/
https://www.4project.co.il/section/usb-cables</x:v>
      </x:c>
    </x:row>
    <x:row r="58" ht="90" customHeight="1">
      <x:c r="A58" s="27" t="str">
        <x:v>50</x:v>
      </x:c>
      <x:c r="B58" s="27" t="str">
        <x:v>Jumper wires and headers</x:v>
      </x:c>
      <x:c r="C58" s="27" t="str">
        <x:v>Adafruit #1956 20 male/male 75 mm jumpers + #1954 20 female/male 150 mm jumpers; #392 10-pack 36-pin straight breakaway headers only if existing stock/parts kit is insufficient</x:v>
      </x:c>
      <x:c r="D58" s="27" t="str">
        <x:v>One small jumper pack plus the 2.54 mm headers needed for the servo breakout</x:v>
      </x:c>
      <x:c r="E58" s="68" t="str">
        <x:v>Reduce</x:v>
      </x:c>
      <x:c r="F58" s="27" t="str">
        <x:v>Kit sensor leads do not replace ordinary signal jumpers or servo headers. Avoid a ten-pack of long header strips if two short strips suffice.</x:v>
      </x:c>
      <x:c r="G58" s="27" t="str">
        <x:v>US$1.95 + US$1.95 + optional US$4.95 headers = US$8.85 maximum listed basket; shipping/tax extra.</x:v>
      </x:c>
      <x:c r="H58" s="27" t="str">
        <x:v>Small-pack or counted-header quote required.</x:v>
      </x:c>
      <x:c r="I58" s="27" t="str">
        <x:v>Adafruit #4482 silicone male/male 200 mm x40 if more flexible longer jumpers are useful</x:v>
      </x:c>
      <x:c r="J58" s="27" t="str">
        <x:v>2 · Electronics</x:v>
      </x:c>
      <x:c r="K58" s="27" t="str">
        <x:v>1 pack of each jumper type; up to 1 header pack</x:v>
      </x:c>
      <x:c r="L58" s="27" t="str">
        <x:v>wiring</x:v>
      </x:c>
      <x:c r="M58" s="25"/>
      <x:c r="N58" s="64" t="str">
        <x:v>https://www.adafruit.com/product/1956</x:v>
      </x:c>
      <x:c r="O58" s="64" t="str">
        <x:v>https://www.adafruit.com/product/4482
https://www.adafruit.com/product/1954
https://www.adafruit.com/product/392</x:v>
      </x:c>
      <x:c r="P58" s="64" t="str">
        <x:v>https://www.adafruit.com/product/4482
https://www.adafruit.com/product/1954
https://www.adafruit.com/product/392</x:v>
      </x:c>
    </x:row>
    <x:row r="59" ht="84" customHeight="1">
      <x:c r="A59" s="27" t="str">
        <x:v>51</x:v>
      </x:c>
      <x:c r="B59" s="27" t="str">
        <x:v>22 AWG solid-core breadboard wire</x:v>
      </x:c>
      <x:c r="C59" s="27" t="str">
        <x:v>Adafruit #1311 Hook-up Wire Spool Set, 22 AWG solid core, six colors x25 ft</x:v>
      </x:c>
      <x:c r="D59" s="27" t="str">
        <x:v>Small lengths of 22 AWG solid-core wire in a few colors</x:v>
      </x:c>
      <x:c r="E59" s="68" t="str">
        <x:v>Reduce</x:v>
      </x:c>
      <x:c r="F59" s="27" t="str">
        <x:v>Breadboard-compatible wire remains useful, but a six-spool assortment is optional. Do not replace solid wire with fine stranded wire for direct breadboard insertion.</x:v>
      </x:c>
      <x:c r="G59" s="27" t="str">
        <x:v>US$15.95 per six-color set; shipping/tax extra.</x:v>
      </x:c>
      <x:c r="H59" s="27" t="str">
        <x:v>Local cut-length quote required.</x:v>
      </x:c>
      <x:c r="I59" s="27" t="str">
        <x:v>Adafruit #3174 ten-color x25 ft set only if more colors are genuinely needed</x:v>
      </x:c>
      <x:c r="J59" s="27" t="str">
        <x:v>2 · Electronics</x:v>
      </x:c>
      <x:c r="K59" s="27" t="str">
        <x:v>1 six-color set; skip if existing wire sufficient</x:v>
      </x:c>
      <x:c r="L59" s="27" t="str">
        <x:v>wiring</x:v>
      </x:c>
      <x:c r="M59" s="25"/>
      <x:c r="N59" s="64" t="str">
        <x:v>https://www.adafruit.com/product/1311</x:v>
      </x:c>
      <x:c r="O59" s="64" t="str">
        <x:v>https://www.adafruit.com/product/3174</x:v>
      </x:c>
      <x:c r="P59" s="64" t="str">
        <x:v>https://www.adafruit.com/product/3174</x:v>
      </x:c>
    </x:row>
    <x:row r="60" ht="84" customHeight="1">
      <x:c r="A60" s="27" t="str">
        <x:v>52</x:v>
      </x:c>
      <x:c r="B60" s="27" t="str">
        <x:v>22–26 AWG stranded signal/harness wire</x:v>
      </x:c>
      <x:c r="C60" s="27" t="str">
        <x:v>Adafruit #3111 22 AWG stranded six-color x25 ft set; add 2 m lengths of #1970 26 AWG silicone in black/red/blue for small flexible signal wiring</x:v>
      </x:c>
      <x:c r="D60" s="27" t="str">
        <x:v>Small lengths of 22 AWG stranded power wire and 26 AWG flexible signal wire</x:v>
      </x:c>
      <x:c r="E60" s="68" t="str">
        <x:v>Reduce</x:v>
      </x:c>
      <x:c r="F60" s="27" t="str">
        <x:v>Start with red/black for power and a few signal colors. Keep 22 AWG for the proposed servo rail and connector compatibility.</x:v>
      </x:c>
      <x:c r="G60" s="27" t="str">
        <x:v>US$19.95 set + 3 xUS$0.95 = US$22.80 listed basket; shipping/tax extra.</x:v>
      </x:c>
      <x:c r="H60" s="27" t="str">
        <x:v>Quote short lengths instead of full six-color spool set.</x:v>
      </x:c>
      <x:c r="I60" s="27" t="str">
        <x:v>Begin with only the four 2 m silicone colors actually needed; defer the bulk spool set if stock exists</x:v>
      </x:c>
      <x:c r="J60" s="27" t="str">
        <x:v>2 · Electronics</x:v>
      </x:c>
      <x:c r="K60" s="27" t="str">
        <x:v>1 set + 3 x2 m lengths, or inventory-adjusted smaller basket</x:v>
      </x:c>
      <x:c r="L60" s="27" t="str">
        <x:v>wiring</x:v>
      </x:c>
      <x:c r="M60" s="25"/>
      <x:c r="N60" s="64" t="str">
        <x:v>https://www.adafruit.com/product/3111</x:v>
      </x:c>
      <x:c r="O60" s="64" t="str">
        <x:v>https://www.adafruit.com/product/1970</x:v>
      </x:c>
      <x:c r="P60" s="64" t="str">
        <x:v>https://www.adafruit.com/product/1970</x:v>
      </x:c>
    </x:row>
    <x:row r="61" ht="84" customHeight="1">
      <x:c r="A61" s="27" t="str">
        <x:v>53</x:v>
      </x:c>
      <x:c r="B61" s="27" t="str">
        <x:v>Premade polarized/friction-lock connector leads</x:v>
      </x:c>
      <x:c r="C61" s="27" t="str">
        <x:v>Pololu #1164 2-pin JST XH-style 2.50 mm cable, 15 cm, matched to #2717 2-pin straight XH-style headers (four-pack)</x:v>
      </x:c>
      <x:c r="D61" s="27" t="str">
        <x:v>Buy exact premade connector pairs when the first enclosure is designed</x:v>
      </x:c>
      <x:c r="E61" s="66" t="str">
        <x:v>Defer</x:v>
      </x:c>
      <x:c r="F61" s="27" t="str">
        <x:v>XH, PH and Qwiic are different connectors. A generic mixed box does not ensure mating pairs, correct pinout or usable wire gauge.</x:v>
      </x:c>
      <x:c r="G61" s="27" t="str">
        <x:v>4 xUS$1.95 + US$1.75 = US$9.55 listed basket; shipping/tax extra.</x:v>
      </x:c>
      <x:c r="H61" s="27" t="str">
        <x:v>Not separately priced; obtain a complete delivered quote. Earlier price notes may include this alternative.</x:v>
      </x:c>
      <x:c r="I61" s="27" t="str">
        <x:v>Pololu #5612 3-pin JST PH-style 2.00 mm cable only if an inventoried device needs that exact family; it does not mate with XH</x:v>
      </x:c>
      <x:c r="J61" s="27" t="str">
        <x:v>2 · Electronics</x:v>
      </x:c>
      <x:c r="K61" s="27" t="str">
        <x:v>4 cables + 1 four-pack headers; add other pin counts only for a defined device Buy only when needed.</x:v>
      </x:c>
      <x:c r="L61" s="27" t="str">
        <x:v>wiring</x:v>
      </x:c>
      <x:c r="M61" s="25"/>
      <x:c r="N61" s="64" t="str">
        <x:v>https://www.pololu.com/product/1164</x:v>
      </x:c>
      <x:c r="O61" s="64" t="str">
        <x:v>https://www.pololu.com/product/5612
https://www.pololu.com/product/2717
https://www.jst.com/products/crimp-style-connectors-wire-to-board-type/xh-connector/</x:v>
      </x:c>
      <x:c r="P61" s="64" t="str">
        <x:v>https://www.pololu.com/product/5612
https://www.pololu.com/product/2717
https://www.jst.com/products/crimp-style-connectors-wire-to-board-type/xh-connector/</x:v>
      </x:c>
    </x:row>
    <x:row r="62" ht="84" customHeight="1">
      <x:c r="A62" s="27" t="str">
        <x:v>54</x:v>
      </x:c>
      <x:c r="B62" s="27" t="str">
        <x:v>Reusable terminal connections</x:v>
      </x:c>
      <x:c r="C62" s="27" t="str">
        <x:v>Genuine WAGO 221-412 two-conductor lever connectors</x:v>
      </x:c>
      <x:c r="D62" s="27" t="str">
        <x:v>Genuine WAGO 221-412 two-conductor lever connectors</x:v>
      </x:c>
      <x:c r="E62" s="66" t="str">
        <x:v>Keep</x:v>
      </x:c>
      <x:c r="F62" s="27" t="str">
        <x:v>Small genuine WAGO pack is reasonable. Pick 2-way or 3-way by wiring topology and use only supported conductor sizes.</x:v>
      </x:c>
      <x:c r="G62" s="27" t="str">
        <x:v>Quote needed from Israeli supplier for requested small quantity.</x:v>
      </x:c>
      <x:c r="H62" s="27" t="str">
        <x:v>Same candidate: see previous price. No new price claim.</x:v>
      </x:c>
      <x:c r="I62" s="27" t="str">
        <x:v>WAGO 221-413 three-conductor connector when one potential needs a branch</x:v>
      </x:c>
      <x:c r="J62" s="27" t="str">
        <x:v>2 · Electronics</x:v>
      </x:c>
      <x:c r="K62" s="27" t="str">
        <x:v>10 two-conductor connectors; up to 4 three-conductor connectors</x:v>
      </x:c>
      <x:c r="L62" s="27" t="str">
        <x:v>wiring</x:v>
      </x:c>
      <x:c r="M62" s="25"/>
      <x:c r="N62" s="64" t="str">
        <x:v>https://www.wago.com/gb/installation-terminal-blocks-and-connectors/splicing-connector-with-levers/p/221-412</x:v>
      </x:c>
      <x:c r="O62" s="64" t="str">
        <x:v>https://www.wago.com/gb/products/electrical-interconnections/splicing-connectors-221
https://il.farnell.com/wago/221-412/terminal-block-pluggable-2pos/dp/2534732</x:v>
      </x:c>
      <x:c r="P62" s="64" t="str">
        <x:v>https://www.wago.com/gb/installation-terminal-blocks-and-connectors/splicing-connector-with-levers/p/221-412</x:v>
      </x:c>
    </x:row>
    <x:row r="63" ht="84" customHeight="1">
      <x:c r="A63" s="27" t="str">
        <x:v>55</x:v>
      </x:c>
      <x:c r="B63" s="27" t="str">
        <x:v>Heat-shrink tubing assortment</x:v>
      </x:c>
      <x:c r="C63" s="27" t="str">
        <x:v>Adafruit #344 Heat Shrink Pack, six diameters, four 6-inch pieces per size, 2:1 polyolefin</x:v>
      </x:c>
      <x:c r="D63" s="27" t="str">
        <x:v>Short lengths of 2:1 polyolefin heat-shrink in diameters matching actual joints</x:v>
      </x:c>
      <x:c r="E63" s="68" t="str">
        <x:v>Reduce</x:v>
      </x:c>
      <x:c r="F63" s="27" t="str">
        <x:v>Small local packs can replace branded assortments. Check shrink ratio, expanded diameter and heat rating.</x:v>
      </x:c>
      <x:c r="G63" s="27" t="str">
        <x:v>US$4.95 preferred pack; shipping/tax extra.</x:v>
      </x:c>
      <x:c r="H63" s="27" t="str">
        <x:v>Local quote required; exact cheap pack not quality-verified.</x:v>
      </x:c>
      <x:c r="I63" s="27" t="str">
        <x:v>Adafruit #1649 multi-colored 3/32, 1/8 and 3/16 inch pack</x:v>
      </x:c>
      <x:c r="J63" s="27" t="str">
        <x:v>2 · Electronics</x:v>
      </x:c>
      <x:c r="K63" s="27" t="str">
        <x:v>1 small pack</x:v>
      </x:c>
      <x:c r="L63" s="27" t="str">
        <x:v>wiring</x:v>
      </x:c>
      <x:c r="M63" s="25"/>
      <x:c r="N63" s="64" t="str">
        <x:v>https://www.adafruit.com/product/344</x:v>
      </x:c>
      <x:c r="O63" s="64" t="str">
        <x:v>https://www.adafruit.com/product/1649</x:v>
      </x:c>
      <x:c r="P63" s="64" t="str">
        <x:v>https://www.adafruit.com/product/1649</x:v>
      </x:c>
    </x:row>
    <x:row r="64" ht="90" customHeight="1">
      <x:c r="A64" s="27" t="str">
        <x:v>56</x:v>
      </x:c>
      <x:c r="B64" s="27" t="str">
        <x:v>Cable ties, labels and edge protection</x:v>
      </x:c>
      <x:c r="C64" s="27" t="str">
        <x:v>HellermannTyton T18R 100 x2.45 mm cable ties (100-pack, e.g. 116-01814); small labels written with permanent marker; 4–6 HellermannTyton HV1218 grommets only for matching 10 mm holes /6 mm aperture</x:v>
      </x:c>
      <x:c r="D64" s="27" t="str">
        <x:v>One small cable-tie pack and handwritten labels; add grommets per enclosure</x:v>
      </x:c>
      <x:c r="E64" s="68" t="str">
        <x:v>Reduce</x:v>
      </x:c>
      <x:c r="F64" s="27" t="str">
        <x:v>The original grommet and gland sizes are conditional examples, not universal holes to design around.</x:v>
      </x:c>
      <x:c r="G64" s="27" t="str">
        <x:v>Quote needed for small basket; no verified total.</x:v>
      </x:c>
      <x:c r="H64" s="27" t="str">
        <x:v>Local small-pack quote required.</x:v>
      </x:c>
      <x:c r="I64" s="27" t="str">
        <x:v>Adafruit #762 PG-7 cable glands for 3.0–4.3 mm cable diameter when cable strain relief at an enclosure is needed</x:v>
      </x:c>
      <x:c r="J64" s="27" t="str">
        <x:v>2 · Electronics</x:v>
      </x:c>
      <x:c r="K64" s="27" t="str">
        <x:v>100 ties; 1 small label sheet/roll; 4–6 grommets after dimensions known</x:v>
      </x:c>
      <x:c r="L64" s="27" t="str">
        <x:v>wiring</x:v>
      </x:c>
      <x:c r="M64" s="25"/>
      <x:c r="N64" s="64" t="str">
        <x:v>https://www.hellermanntyton.co.uk/products/cable-ties-inside-serrated/t18r/116-01814</x:v>
      </x:c>
      <x:c r="O64" s="64" t="str">
        <x:v>https://www.adafruit.com/product/762
https://www.tme.com/il/en/details/hv1218/grommets/hellermanntyton/633-02180/</x:v>
      </x:c>
      <x:c r="P64" s="64" t="str">
        <x:v>https://www.adafruit.com/product/762
https://www.tme.com/il/en/details/hv1218/grommets/hellermanntyton/633-02180/</x:v>
      </x:c>
    </x:row>
    <x:row r="65" ht="84" customHeight="1">
      <x:c r="A65" s="27" t="str">
        <x:v>57</x:v>
      </x:c>
      <x:c r="B65" s="27" t="str">
        <x:v>Resistors and capacitors</x:v>
      </x:c>
      <x:c r="C65" s="27" t="str">
        <x:v>SparkFun COM-10969 Resistor Kit, 500 through-hole 1/4 W pieces across 20 values; use capacitors already included in row 58 first</x:v>
      </x:c>
      <x:c r="D65" s="27" t="str">
        <x:v>Small 1/4 W resistor assortment; use row 58 capacitors before adding another kit</x:v>
      </x:c>
      <x:c r="E65" s="68" t="str">
        <x:v>Reduce</x:v>
      </x:c>
      <x:c r="F65" s="27" t="str">
        <x:v>Avoid buying hundreds of values solely for inventory. Grove modules do not replace resistors used in custom circuits.</x:v>
      </x:c>
      <x:c r="G65" s="27" t="str">
        <x:v>US$9.95 resistor kit; optional capacitor refill US$11.50; shipping/tax extra.</x:v>
      </x:c>
      <x:c r="H65" s="27" t="str">
        <x:v>Counted local BOM quote required. SparkFun kit remains documented fallback.</x:v>
      </x:c>
      <x:c r="I65" s="27" t="str">
        <x:v>SparkFun KIT-13698 Capacitor Kit as a later refill; no need to buy it with row 58 on day one</x:v>
      </x:c>
      <x:c r="J65" s="27" t="str">
        <x:v>2 · Electronics</x:v>
      </x:c>
      <x:c r="K65" s="27" t="str">
        <x:v>1 resistor kit; zero extra capacitor kit initially if row 58 purchased</x:v>
      </x:c>
      <x:c r="L65" s="27" t="str">
        <x:v>wiring</x:v>
      </x:c>
      <x:c r="M65" s="25"/>
      <x:c r="N65" s="64" t="str">
        <x:v>https://www.sparkfun.com/resistor-kit-1-4w-500-total.html</x:v>
      </x:c>
      <x:c r="O65" s="64" t="str">
        <x:v>https://www.sparkfun.com/sparkfun-capacitor-kit.html</x:v>
      </x:c>
      <x:c r="P65" s="64" t="str">
        <x:v>https://www.sparkfun.com/sparkfun-capacitor-kit.html</x:v>
      </x:c>
    </x:row>
    <x:row r="66" ht="84" customHeight="1">
      <x:c r="A66" s="27" t="str">
        <x:v>58</x:v>
      </x:c>
      <x:c r="B66" s="27" t="str">
        <x:v>LEDs, buttons, switches, potentiometers, diodes and transistors</x:v>
      </x:c>
      <x:c r="C66" s="27" t="str">
        <x:v>SparkFun Beginner Parts Kit KIT-27842; optional 2 xAdafruit #3395 10 kΩ linear panel potentiometers with switch for reusable controls</x:v>
      </x:c>
      <x:c r="D66" s="27" t="str">
        <x:v>Small local component BOM based on SparkFun KIT-27842, omitting duplicate kit controls</x:v>
      </x:c>
      <x:c r="E66" s="68" t="str">
        <x:v>Reduce</x:v>
      </x:c>
      <x:c r="F66" s="27" t="str">
        <x:v>Keep useful transistors/diodes/capacitors for circuits. Grove already covers basic LED, button, potentiometer and buzzer experiments.</x:v>
      </x:c>
      <x:c r="G66" s="27" t="str">
        <x:v>US$19.95 kit + optional 2 xUS$1.50 pots = US$22.95; shipping/tax extra.</x:v>
      </x:c>
      <x:c r="H66" s="27" t="str">
        <x:v>Local BOM quote required; no exact saving verified.</x:v>
      </x:c>
      <x:c r="I66" s="27" t="str">
        <x:v>Buy only missing parts individually from an Israeli component distributor using the KIT-27842 contents as a small BOM; #3395 gives a concrete panel-control option</x:v>
      </x:c>
      <x:c r="J66" s="27" t="str">
        <x:v>2 · Electronics</x:v>
      </x:c>
      <x:c r="K66" s="27" t="str">
        <x:v>1 kit only if existing stock sparse; 0–2 panel pots</x:v>
      </x:c>
      <x:c r="L66" s="27" t="str">
        <x:v>wiring</x:v>
      </x:c>
      <x:c r="M66" s="25"/>
      <x:c r="N66" s="64" t="str">
        <x:v>https://www.sparkfun.com/sparkfun-beginner-parts-kit-1.html</x:v>
      </x:c>
      <x:c r="O66" s="64" t="str">
        <x:v>https://www.adafruit.com/product/3395</x:v>
      </x:c>
      <x:c r="P66" s="64" t="str">
        <x:v>https://www.adafruit.com/product/3395</x:v>
      </x:c>
    </x:row>
    <x:row r="67" ht="84" customHeight="1">
      <x:c r="A67" s="27" t="str">
        <x:v>59</x:v>
      </x:c>
      <x:c r="B67" s="27" t="str">
        <x:v>Electronics solder and flux</x:v>
      </x:c>
      <x:c r="C67" s="27" t="str">
        <x:v>Chip Quik SMDSWLF .020 2OZ lead-free SAC305 flux-core solder, 0.5 mm /56.7 g; Chip Quik SMD291NL 5 cc no-clean tack flux syringe</x:v>
      </x:c>
      <x:c r="D67" s="27" t="str">
        <x:v>Small quality solder spool plus one flux type: Chip Quik CQ4LF pen for initial through-hole work</x:v>
      </x:c>
      <x:c r="E67" s="66" t="str">
        <x:v>Keep</x:v>
      </x:c>
      <x:c r="F67" s="27" t="str">
        <x:v>Do not buy both flux pen and tack syringe initially. Preserve known alloy/flux specifications; uncertain solder can make debugging expensive.</x:v>
      </x:c>
      <x:c r="G67" s="27" t="str">
        <x:v>Quote needed for complete preferred basket; do not substitute the much larger 1 lb spool simply for value.</x:v>
      </x:c>
      <x:c r="H67" s="27" t="str">
        <x:v>Not separately priced; obtain a complete delivered quote. Earlier price notes may include this alternative.</x:v>
      </x:c>
      <x:c r="I67" s="27" t="str">
        <x:v>Chip Quik CQ4LF 10 ml no-clean liquid flux pen instead of tack flux for connector/through-hole work; do not buy both initially</x:v>
      </x:c>
      <x:c r="J67" s="27" t="str">
        <x:v>2 · Electronics</x:v>
      </x:c>
      <x:c r="K67" s="27" t="str">
        <x:v>1 small solder spool + 1 flux container</x:v>
      </x:c>
      <x:c r="L67" s="27" t="str">
        <x:v>wiring</x:v>
      </x:c>
      <x:c r="M67" s="25"/>
      <x:c r="N67" s="64" t="str">
        <x:v>https://il.farnell.com/chip-quik/smdswlf-020-2oz/small-spool-solder-wire-lead-free/dp/2804756</x:v>
      </x:c>
      <x:c r="O67" s="64" t="str">
        <x:v>https://www.adafruit.com/product/3468
https://www.chipquik.com/datasheets/SMD291NL.pdf
https://www.digikey.co.il/en/products/detail/chip-quik-inc/SMD291NL/1160000</x:v>
      </x:c>
      <x:c r="P67" s="64" t="str">
        <x:v>https://www.adafruit.com/product/3468
https://www.chipquik.com/datasheets/SMD291NL.pdf
https://www.digikey.co.il/en/products/detail/chip-quik-inc/SMD291NL/1160000</x:v>
      </x:c>
    </x:row>
    <x:row r="68" ht="84" customHeight="1">
      <x:c r="A68" s="27" t="str">
        <x:v>60</x:v>
      </x:c>
      <x:c r="B68" s="27" t="str">
        <x:v>Desoldering wick and pump</x:v>
      </x:c>
      <x:c r="C68" s="27" t="str">
        <x:v>Adafruit #149 Atten solder wick, 1.5 mm x1.5 m, plus Adafruit #148 manual solder sucker</x:v>
      </x:c>
      <x:c r="D68" s="27" t="str">
        <x:v>Adafruit #149 Atten solder wick, 1.5 mm x1.5 m, plus Adafruit #148 manual solder sucker</x:v>
      </x:c>
      <x:c r="E68" s="66" t="str">
        <x:v>Keep</x:v>
      </x:c>
      <x:c r="F68" s="27" t="str">
        <x:v>Basic Atten wick and manual pump already fit the task. Engineer SS-02 is an upgrade only for frequent rework.</x:v>
      </x:c>
      <x:c r="G68" s="27" t="str">
        <x:v>US$3.50 wick + US$5.00 pump = US$8.50 preferred basket; shipping/tax extra.</x:v>
      </x:c>
      <x:c r="H68" s="27" t="str">
        <x:v>Same candidate: see previous price. No new price claim.</x:v>
      </x:c>
      <x:c r="I68" s="27" t="str">
        <x:v>Engineer SS-02 silicone-tip solder sucker (Adafruit #1597) if frequent rework justifies the upgrade; retain the wick</x:v>
      </x:c>
      <x:c r="J68" s="27" t="str">
        <x:v>2 · Electronics</x:v>
      </x:c>
      <x:c r="K68" s="27" t="str">
        <x:v>1 wick spool + 1 pump</x:v>
      </x:c>
      <x:c r="L68" s="27" t="str">
        <x:v>wiring</x:v>
      </x:c>
      <x:c r="M68" s="25"/>
      <x:c r="N68" s="64" t="str">
        <x:v>https://www.adafruit.com/product/149</x:v>
      </x:c>
      <x:c r="O68" s="64" t="str">
        <x:v>https://www.adafruit.com/product/1597
https://www.adafruit.com/product/148</x:v>
      </x:c>
      <x:c r="P68" s="64" t="str">
        <x:v>https://www.adafruit.com/product/149</x:v>
      </x:c>
    </x:row>
    <x:row r="69" ht="84" customHeight="1">
      <x:c r="A69" s="27" t="str">
        <x:v>61</x:v>
      </x:c>
      <x:c r="B69" s="27" t="str">
        <x:v>Adhesives and mounting tape</x:v>
      </x:c>
      <x:c r="C69" s="27" t="str">
        <x:v>Loctite Super Glue Gel Control small tube/bottle + Loctite Epoxy Instant Mix 5min small syringe + short tesa 4965 double-sided mounting tape roll</x:v>
      </x:c>
      <x:c r="D69" s="27" t="str">
        <x:v>One small CA gel plus a short mounting-tape roll; epoxy when a joint requires it</x:v>
      </x:c>
      <x:c r="E69" s="68" t="str">
        <x:v>Reduce</x:v>
      </x:c>
      <x:c r="F69" s="27" t="str">
        <x:v>Adhesive choice depends on material, load and water exposure. Buying all glue types at once is unnecessary.</x:v>
      </x:c>
      <x:c r="G69" s="27" t="str">
        <x:v>Quote needed from local hardware supplier; avoid importing liquids for a small basket without comparing shipping.</x:v>
      </x:c>
      <x:c r="H69" s="27" t="str">
        <x:v>Not separately priced; obtain a complete delivered quote. Earlier price notes may include this alternative.</x:v>
      </x:c>
      <x:c r="I69" s="27" t="str">
        <x:v>Loctite Super Glue Ultra Gel Control for projects needing a tougher CA joint; 3M VHB 4910 for suitable smooth surfaces when thicker foam tape is useful</x:v>
      </x:c>
      <x:c r="J69" s="27" t="str">
        <x:v>1 · Build basics</x:v>
      </x:c>
      <x:c r="K69" s="27" t="str">
        <x:v>1 small CA pack, 1 small epoxy syringe, 1 short tape roll</x:v>
      </x:c>
      <x:c r="L69" s="27" t="str">
        <x:v>wiring</x:v>
      </x:c>
      <x:c r="M69" s="25"/>
      <x:c r="N69" s="64" t="str">
        <x:v>https://www.loctiteproducts.com/products/central-pdp.html/loctite-super-glue-gel-control/SAP_0201DGL029X7.html</x:v>
      </x:c>
      <x:c r="O69" s="64" t="str">
        <x:v>https://www.loctiteproducts.com/products/central-pdp.html/loctite-super-glue-ultra-gel-control/SAP_0201DGL029X9.html
https://www.loctiteproducts.com/products/central-pdp.html/loctite-epoxy-instant-mix-5min/SAP_0201OAL029U6.html
https://www.tesa.com/en/industry/tesa-4965.html
https://www.dvakim.com/products/tesa-transparent-double-sided-tape-plastic-4965
https://www.3m.com/3M/en_US/p/d/b40072022/</x:v>
      </x:c>
      <x:c r="P69" s="64" t="str">
        <x:v>https://www.loctiteproducts.com/products/central-pdp.html/loctite-super-glue-ultra-gel-control/SAP_0201DGL029X9.html
https://www.loctiteproducts.com/products/central-pdp.html/loctite-epoxy-instant-mix-5min/SAP_0201OAL029U6.html
https://www.tesa.com/en/industry/tesa-4965.html
https://www.dvakim.com/products/tesa-transparent-double-sided-tape-plastic-4965
https://www.3m.com/3M/en_US/p/d/b40072022/</x:v>
      </x:c>
    </x:row>
    <x:row r="70" ht="84" customHeight="1">
      <x:c r="A70" s="27" t="str">
        <x:v>62</x:v>
      </x:c>
      <x:c r="B70" s="27" t="str">
        <x:v>Cleaning consumables</x:v>
      </x:c>
      <x:c r="C70" s="27" t="str">
        <x:v>MG Chemicals 824-100ML 99.9% isopropyl alcohol, lint-free wipes/swabs and a small soft electronics-cleaning brush</x:v>
      </x:c>
      <x:c r="D70" s="27" t="str">
        <x:v>One shared IPA 99.9% bottle, 2 lint-free cloths and plain dish detergent</x:v>
      </x:c>
      <x:c r="E70" s="65" t="str">
        <x:v>Replace</x:v>
      </x:c>
      <x:c r="F70" s="27" t="str">
        <x:v>Dedicate cloths to plate cleaning and keep them free of grease. Wash textured PEI with detergent and water; IPA is a secondary cleaner. Do not buy duplicate printer/electronics bottles.</x:v>
      </x:c>
      <x:c r="G70" s="27" t="str">
        <x:v>Quote needed locally; no verified Israeli landed price.</x:v>
      </x:c>
      <x:c r="H70" s="27" t="str">
        <x:v>Local price quote required. Compare equal volume and purity.</x:v>
      </x:c>
      <x:c r="I70" s="27" t="str">
        <x:v>Locally supplied electronics-grade 99%+ IPA with documented purity; use ordinary dish soap/water separately for printer plate cleaning only if the plate manufacturer permits it</x:v>
      </x:c>
      <x:c r="J70" s="27" t="str">
        <x:v>1 · Build basics</x:v>
      </x:c>
      <x:c r="K70" s="27" t="str">
        <x:v>1 cleaning set includes 2 cloths</x:v>
      </x:c>
      <x:c r="L70" s="27" t="str">
        <x:v>wiring</x:v>
      </x:c>
      <x:c r="M70" s="25"/>
      <x:c r="N70" s="64" t="str">
        <x:v>https://mgchemicals.com/products/electronics-maintenance/isopropyl-alcohol/99-9-isopropyl-alcohol/</x:v>
      </x:c>
      <x:c r="O70" s="64" t="str">
        <x:v>https://www.digikey.com/en/products/detail/mg-chemicals/824-100ML/14563350
https://mgchemicals.com/downloads/tds/tds-824.pdf</x:v>
      </x:c>
      <x:c r="P70" s="64" t="str">
        <x:v>https://bambu-lab-jp.myshopify.com/en/products/bambu-textured-pei-plate
https://mgchemicals.com/products/electronics-maintenance/isopropyl-alcohol/99-9-isopropyl-alcohol/</x:v>
      </x:c>
    </x:row>
    <x:row r="71" ht="84" customHeight="1">
      <x:c r="A71" s="27" t="str">
        <x:v>63</x:v>
      </x:c>
      <x:c r="B71" s="27" t="str">
        <x:v>Adjustable task light</x:v>
      </x:c>
      <x:c r="C71" s="27" t="str">
        <x:v>IKEA TERTIAL white 703.554.55 + compatible frosted E27 LED bulb</x:v>
      </x:c>
      <x:c r="D71" s="27" t="str">
        <x:v>IKEA TERTIAL white 703.554.55 + compatible frosted E27 LED bulb</x:v>
      </x:c>
      <x:c r="E71" s="66" t="str">
        <x:v>Keep</x:v>
      </x:c>
      <x:c r="F71" s="27" t="str">
        <x:v>IKEA TERTIAL plus suitable bulb was already an economical task-light choice. Reuse an adjustable lamp if available.</x:v>
      </x:c>
      <x:c r="G71" s="27" t="str">
        <x:v>Observed IKEA Israel lamp ₪79; suggested SOLHETTA 806 lm/4000 K E27 two-pack ₪22. Combined shown products ₪101, before any delivery; store availability unconfirmed.</x:v>
      </x:c>
      <x:c r="H71" s="27" t="str">
        <x:v>Same candidate: see previous price. No new price claim.</x:v>
      </x:c>
      <x:c r="I71" s="27" t="str">
        <x:v>IKEA TERTIAL dark grey 503.553.95; same lamp family</x:v>
      </x:c>
      <x:c r="J71" s="27" t="str">
        <x:v>Check home first</x:v>
      </x:c>
      <x:c r="K71" s="27" t="str">
        <x:v>1 lamp + 1 bulb; pictured SOLHETTA 806 lm / 4000 K sold in 2-pack</x:v>
      </x:c>
      <x:c r="L71" s="27" t="str">
        <x:v>hardware</x:v>
      </x:c>
      <x:c r="M71" s="25"/>
      <x:c r="N71" s="64" t="str">
        <x:v>https://www.ikea.com/il/he/p/tertial-work-lamp-white-70355455/</x:v>
      </x:c>
      <x:c r="O71" s="64" t="str">
        <x:v>https://www.ikea.com/il/he/p/tertial-work-lamp-dark-grey-50355395/</x:v>
      </x:c>
      <x:c r="P71" s="64" t="str">
        <x:v>https://www.ikea.com/il/he/p/tertial-work-lamp-white-70355455/</x:v>
      </x:c>
    </x:row>
    <x:row r="72" ht="84" customHeight="1">
      <x:c r="A72" s="27" t="str">
        <x:v>64</x:v>
      </x:c>
      <x:c r="B72" s="27" t="str">
        <x:v>Small component drawers</x:v>
      </x:c>
      <x:c r="C72" s="27" t="str">
        <x:v>Stanley 1-93-980, 30 small drawers</x:v>
      </x:c>
      <x:c r="D72" s="27" t="str">
        <x:v>Label small bags or existing boxes first; Stanley drawers when component count grows</x:v>
      </x:c>
      <x:c r="E72" s="66" t="str">
        <x:v>Defer</x:v>
      </x:c>
      <x:c r="F72" s="27" t="str">
        <x:v>Drawers speed retrieval, but a full cabinet need not precede the first projects.</x:v>
      </x:c>
      <x:c r="G72" s="27" t="str">
        <x:v>Bait-Plus observed ₪130 plus listed ₪39 delivery (₪169 if that delivery charge applies); no tax-inclusion claim beyond retailer display.</x:v>
      </x:c>
      <x:c r="H72" s="27" t="str">
        <x:v>No new spend if existing boxes are suitable; original Stanley listing remains fallback.</x:v>
      </x:c>
      <x:c r="I72" s="27" t="str">
        <x:v>Same Stanley model from Shazar; compare local delivery and stock</x:v>
      </x:c>
      <x:c r="J72" s="27" t="str">
        <x:v>1 · Build basics</x:v>
      </x:c>
      <x:c r="K72" s="27" t="str">
        <x:v>1 drawer cabinet initially; retain electronics in their appropriate protective packaging Buy only when needed.</x:v>
      </x:c>
      <x:c r="L72" s="27" t="str">
        <x:v>hardware</x:v>
      </x:c>
      <x:c r="M72" s="25"/>
      <x:c r="N72" s="64" t="str">
        <x:v>https://www.bait-plus.co.il/product/מגירון-30-מגירות-stanley-1</x:v>
      </x:c>
      <x:c r="O72" s="64" t="str">
        <x:v>https://www.shazartech.co.il/product/ארגונית-30-מגירות-תאים-סטנלי-stanley-1-93-980/</x:v>
      </x:c>
      <x:c r="P72" s="64" t="str">
        <x:v>https://www.shazartech.co.il/product/ארגונית-30-מגירות-תאים-סטנלי-stanley-1-93-980/</x:v>
      </x:c>
    </x:row>
    <x:row r="73" ht="84" customHeight="1">
      <x:c r="A73" s="27" t="str">
        <x:v>65</x:v>
      </x:c>
      <x:c r="B73" s="27" t="str">
        <x:v>Three project trays/boxes</x:v>
      </x:c>
      <x:c r="C73" s="27" t="str">
        <x:v>IKEA SAMLA 11 L, 39×28×14 cm, box 401.029.78; optional matching lids</x:v>
      </x:c>
      <x:c r="D73" s="27" t="str">
        <x:v>Existing shallow trays or boxes; IKEA SAMLA only for missing capacity</x:v>
      </x:c>
      <x:c r="E73" s="67" t="str">
        <x:v>Reuse</x:v>
      </x:c>
      <x:c r="F73" s="27" t="str">
        <x:v>Keep one tray per active project. Matching branded boxes provide organization rather than a new lab capability.</x:v>
      </x:c>
      <x:c r="G73" s="27" t="str">
        <x:v>Quote/store checkout needed; reliable exact total not exposed in retrieved product page. Ignore search size-change price differences as item prices.</x:v>
      </x:c>
      <x:c r="H73" s="27" t="str">
        <x:v>Not separately priced; obtain a complete delivered quote. Earlier price notes may include this alternative.</x:v>
      </x:c>
      <x:c r="I73" s="27" t="str">
        <x:v>IKEA SAMLA box-with-lid 11 L combination s69440836; shallow household trays already owned can replace these</x:v>
      </x:c>
      <x:c r="J73" s="27" t="str">
        <x:v>Check home first</x:v>
      </x:c>
      <x:c r="K73" s="27" t="str">
        <x:v>3 boxes; three lids only if needed for dust/stacking; do not buy both box-only and box-with-lid alternatives</x:v>
      </x:c>
      <x:c r="L73" s="27" t="str">
        <x:v>hardware</x:v>
      </x:c>
      <x:c r="M73" s="25"/>
      <x:c r="N73" s="64" t="str">
        <x:v>https://www.ikea.com/il/he/p/samla-box-transparent-40102978/</x:v>
      </x:c>
      <x:c r="O73" s="64" t="str">
        <x:v>https://www.ikea.com/il/he/p/samla-box-with-lid-transparent-s69440836/</x:v>
      </x:c>
      <x:c r="P73" s="64" t="str">
        <x:v>https://www.ikea.com/il/he/p/samla-box-with-lid-transparent-s69440836/</x:v>
      </x:c>
    </x:row>
    <x:row r="74" ht="84" customHeight="1">
      <x:c r="A74" s="27" t="str">
        <x:v>66</x:v>
      </x:c>
      <x:c r="B74" s="27" t="str">
        <x:v>Fixture and visual-test supplies</x:v>
      </x:c>
      <x:c r="C74" s="27" t="str">
        <x:v>3M ScotchBlue 2090 painter's tape, approximately 24 mm wide; matte black/white A3 card and rigid backing board from local stationery/hardware store</x:v>
      </x:c>
      <x:c r="D74" s="27" t="str">
        <x:v>Existing matte card and backing board plus removable painter tape</x:v>
      </x:c>
      <x:c r="E74" s="67" t="str">
        <x:v>Reuse</x:v>
      </x:c>
      <x:c r="F74" s="27" t="str">
        <x:v>Adequate for early fixture marking and repeatable vision tests. Branded tape only if adhesion/removal performance matters.</x:v>
      </x:c>
      <x:c r="G74" s="27" t="str">
        <x:v>Local quote needed; manufacturer tape family verified but Israeli small-basket price not observed.</x:v>
      </x:c>
      <x:c r="H74" s="27" t="str">
        <x:v>Not separately priced; obtain a complete delivered quote. Earlier price notes may include this alternative.</x:v>
      </x:c>
      <x:c r="I74" s="27" t="str">
        <x:v>Equivalent removable painter's tape and existing matte cardboard; print brackets using already-planned printer stock</x:v>
      </x:c>
      <x:c r="J74" s="27" t="str">
        <x:v>Check home first</x:v>
      </x:c>
      <x:c r="K74" s="27" t="str">
        <x:v>1 tape roll; 2 sheets each matte white/black card; 1 rigid A3 backing board and 1 small scrap-plywood fixture base</x:v>
      </x:c>
      <x:c r="L74" s="27" t="str">
        <x:v>hardware</x:v>
      </x:c>
      <x:c r="M74" s="25"/>
      <x:c r="N74" s="64" t="str">
        <x:v>https://www.3m.com/3M/en_US/p/d/b00035531/</x:v>
      </x:c>
      <x:c r="O74" s="64" t="str"/>
      <x:c r="P74" s="64" t="str"/>
    </x:row>
    <x:row r="75" ht="84" customHeight="1">
      <x:c r="A75" s="27" t="str">
        <x:v>P1</x:v>
      </x:c>
      <x:c r="B75" s="27" t="str">
        <x:v>New board, sensor and motor purchases</x:v>
      </x:c>
      <x:c r="C75" s="27" t="str">
        <x:v>User confirmed none owned. Selected Arduino Plug and Make Kit B1 plus FEETECH FS90 M1; see Electronics starter.</x:v>
      </x:c>
      <x:c r="D75" s="27" t="str">
        <x:v>Value route: Grove Beginner Kit B1 plus two FEETECH FS90 M1 and external servo hookup M2</x:v>
      </x:c>
      <x:c r="E75" s="65" t="str">
        <x:v>Replace</x:v>
      </x:c>
      <x:c r="F75" s="27" t="str">
        <x:v>Grouped purchase summary only. Do not add P1 cost to B1/M1/M2 again. Arduino Plug and Make stays a convenience alternative.</x:v>
      </x:c>
      <x:c r="G75" s="27" t="str">
        <x:v>USD87.40 kit + ILS32.80 servo pair; shipping/import extras; not in core allowance.</x:v>
      </x:c>
      <x:c r="H75" s="27" t="str">
        <x:v>USD 23.90 kit + ILS 32.80 servo pair, before kit shipping/imports. Mixed currencies are not a total.</x:v>
      </x:c>
      <x:c r="I75" s="27" t="str">
        <x:v>Individual controller/sensor basket is alternative only.</x:v>
      </x:c>
      <x:c r="J75" s="27" t="str">
        <x:v>Buy first</x:v>
      </x:c>
      <x:c r="K75" s="27" t="str">
        <x:v>Grouped project decision; refer to component IDs. </x:v>
      </x:c>
      <x:c r="L75" s="27" t="str">
        <x:v>robotics</x:v>
      </x:c>
      <x:c r="M75" s="25"/>
      <x:c r="N75" s="64" t="str">
        <x:v>https://www.mouser.co.il/en/ProductDetail/Arduino/AKX00069?qs=i8QVZAFTkqQAxzOkAzGAJA%3D%3D</x:v>
      </x:c>
      <x:c r="O75" s="64" t="str">
        <x:v>https://www.4project.co.il/product/feetech-fs90-servo-motor</x:v>
      </x:c>
      <x:c r="P75" s="64" t="str">
        <x:v>https://www.4project.co.il/product/feetech-fs90-servo-motor</x:v>
      </x:c>
    </x:row>
    <x:row r="76" ht="84" customHeight="1">
      <x:c r="A76" s="27" t="str">
        <x:v>P2</x:v>
      </x:c>
      <x:c r="B76" s="27" t="str">
        <x:v>Printer stand / bench</x:v>
      </x:c>
      <x:c r="C76" s="27" t="str">
        <x:v>IKEA BROR workbench 110 × 55 × 88 cm, article 303.332.86, as separate printer station if existing furniture is inadequate</x:v>
      </x:c>
      <x:c r="D76" s="27" t="str">
        <x:v>Rigid table supporting P2S and AMS 2 Pro, with service and lid clearance</x:v>
      </x:c>
      <x:c r="E76" s="67" t="str">
        <x:v>Reuse</x:v>
      </x:c>
      <x:c r="F76" s="27" t="str">
        <x:v>Reuse suitable furniture. Check loaded capacity, stable footprint, AMS lid access and exhaust routing. Prior A1 moving-bed clearance note no longer applies.</x:v>
      </x:c>
      <x:c r="G76" s="27" t="str">
        <x:v>IKEA Israel observed ILS 750; delivery/assembly charges and VAT labeling not established in extracted listing.</x:v>
      </x:c>
      <x:c r="H76" s="27" t="str">
        <x:v>Not separately priced; obtain a complete delivered quote. Earlier price notes may include this alternative.</x:v>
      </x:c>
      <x:c r="I76" s="27" t="str">
        <x:v>Reuse a rigid existing table with adequate loaded capacity and working clearance</x:v>
      </x:c>
      <x:c r="J76" s="27" t="str">
        <x:v>Later / conditional</x:v>
      </x:c>
      <x:c r="K76" s="27" t="str">
        <x:v>Grouped project decision; refer to component IDs. </x:v>
      </x:c>
      <x:c r="L76" s="27" t="str">
        <x:v>printing</x:v>
      </x:c>
      <x:c r="M76" s="25"/>
      <x:c r="N76" s="64" t="str">
        <x:v>https://www.ikea.com/il/he/p/bror-work-bench-black-pine-plywood-30333286/</x:v>
      </x:c>
      <x:c r="O76" s="64" t="str"/>
      <x:c r="P76" s="64" t="str"/>
    </x:row>
    <x:row r="77" ht="84" customHeight="1">
      <x:c r="A77" s="27" t="str">
        <x:v>P3</x:v>
      </x:c>
      <x:c r="B77" s="27" t="str">
        <x:v>Printer extraction to outdoors</x:v>
      </x:c>
      <x:c r="C77" s="27" t="str">
        <x:v>P2S-compatible external exhaust kit plus fitted duct/window insert; plan whole extraction route for the shared room</x:v>
      </x:c>
      <x:c r="D77" s="27" t="str">
        <x:v>P2S-compatible external exhaust route with duct and fitted window insert</x:v>
      </x:c>
      <x:c r="E77" s="69" t="str">
        <x:v>Quote</x:v>
      </x:c>
      <x:c r="F77" s="27" t="str">
        <x:v>Plan source capture for the shared room. Enclosure and nearby window alone are not a complete extraction system. Resolve setup before ASA use.</x:v>
      </x:c>
      <x:c r="G77" s="27" t="str">
        <x:v>No validated Israel complete-installation quote; site-specific allowance required. Do not treat a fan-only listing as installed cost.</x:v>
      </x:c>
      <x:c r="H77" s="27" t="str">
        <x:v>Complete equipment/installation quote required. Not included in core total.</x:v>
      </x:c>
      <x:c r="I77" s="27" t="str">
        <x:v>Dedicated ventilated printer location if a suitable outdoor discharge route cannot be made</x:v>
      </x:c>
      <x:c r="J77" s="27" t="str">
        <x:v>Plan installation</x:v>
      </x:c>
      <x:c r="K77" s="27" t="str">
        <x:v>Grouped project decision; refer to component IDs. </x:v>
      </x:c>
      <x:c r="L77" s="27" t="str">
        <x:v>printing</x:v>
      </x:c>
      <x:c r="M77" s="25"/>
      <x:c r="N77" s="64" t="str">
        <x:v>https://wiki.bambulab.com/en/p2s/manual/external-exhaust-fan-kit</x:v>
      </x:c>
      <x:c r="O77" s="64" t="str">
        <x:v>https://www.youtube.com/watch?v=X2LzxzXUhT4</x:v>
      </x:c>
      <x:c r="P77" s="64" t="str">
        <x:v>https://wiki.bambulab.com/en/p2s/manual/external-exhaust-fan-kit</x:v>
      </x:c>
    </x:row>
    <x:row r="78" ht="84" customHeight="1">
      <x:c r="A78" s="27" t="str">
        <x:v>P4</x:v>
      </x:c>
      <x:c r="B78" s="27" t="str">
        <x:v>Separate filament dryer</x:v>
      </x:c>
      <x:c r="C78" s="27" t="str">
        <x:v>Defer: first use the Combo AMS 2 Pro for scheduled drying</x:v>
      </x:c>
      <x:c r="D78" s="27" t="str">
        <x:v>Use included AMS 2 Pro drying; defer separate dryer</x:v>
      </x:c>
      <x:c r="E78" s="72" t="str">
        <x:v>Defer</x:v>
      </x:c>
      <x:c r="F78" s="27" t="str">
        <x:v>AMS 2 Pro dries up to 65°C; one unit can use P2S power. Schedule drying between prints and follow filament requirements. Revisit separate dryer only for higher temperature or extra capacity.</x:v>
      </x:c>
      <x:c r="G78" s="27" t="str">
        <x:v>Yazamco displayed ILS 349; shipping ILS 39 incl. VAT, free above ILS 500, free coordinated pickup. Product price VAT treatment not explicitly labeled in extracted section.</x:v>
      </x:c>
      <x:c r="H78" s="27" t="str">
        <x:v>No additional dryer purchase initially.</x:v>
      </x:c>
      <x:c r="I78" s="27" t="str">
        <x:v>SUNLU S2 or standard Creality Space Pi: single-spool alternatives. SUNLU S4: four-spool alternative. These are future capacity options, not additions to the selected first order.</x:v>
      </x:c>
      <x:c r="J78" s="27" t="str">
        <x:v>Later / conditional</x:v>
      </x:c>
      <x:c r="K78" s="27" t="str">
        <x:v>0 separate dryers initially</x:v>
      </x:c>
      <x:c r="L78" s="27" t="str">
        <x:v>printing</x:v>
      </x:c>
      <x:c r="M78" s="25"/>
      <x:c r="N78" s="64" t="str">
        <x:v>https://bambu-lab-jp.myshopify.com/en/products/ams-2-pro</x:v>
      </x:c>
      <x:c r="O78" s="64" t="str">
        <x:v>https://3dny.co.il/product/מייבש-פילמנטים-מתקדם-ל־2-גלילים-sunlu-filadryer-s2/</x:v>
      </x:c>
      <x:c r="P78" s="64" t="str">
        <x:v>https://bambu-lab-jp.myshopify.com/en/products/ams-2-pro
https://www.sunlu.com/products/297
https://www.creality.com/products/creality-space-pi-filament-dryer</x:v>
      </x:c>
    </x:row>
    <x:row r="79" ht="84" customHeight="1">
      <x:c r="A79" s="27" t="str">
        <x:v>P5</x:v>
      </x:c>
      <x:c r="B79" s="27" t="str">
        <x:v>Conditional metal hacksaw</x:v>
      </x:c>
      <x:c r="C79" s="27" t="str">
        <x:v>Stanley STHT20139L Rubber Grip Hacksaw, 12-inch blade</x:v>
      </x:c>
      <x:c r="D79" s="27" t="str">
        <x:v>Stanley STHT20139L Rubber Grip Hacksaw, 12-inch blade</x:v>
      </x:c>
      <x:c r="E79" s="66" t="str">
        <x:v>Defer</x:v>
      </x:c>
      <x:c r="F79" s="27" t="str">
        <x:v>Order cut-to-length stock where practical. Buy hacksaw only once a material-cutting task exists.</x:v>
      </x:c>
      <x:c r="G79" s="27" t="str">
        <x:v>Quote needed</x:v>
      </x:c>
      <x:c r="H79" s="27" t="str">
        <x:v>Same candidate: see previous price. No new price claim.</x:v>
      </x:c>
      <x:c r="I79" s="27" t="str">
        <x:v>No distinct alternative previously proposed.</x:v>
      </x:c>
      <x:c r="J79" s="27" t="str">
        <x:v>Later / conditional</x:v>
      </x:c>
      <x:c r="K79" s="27" t="str">
        <x:v>Grouped project decision; refer to component IDs.  Buy only when needed.</x:v>
      </x:c>
      <x:c r="L79" s="27" t="str">
        <x:v>mechanical</x:v>
      </x:c>
      <x:c r="M79" s="25"/>
      <x:c r="N79" s="64" t="str">
        <x:v>https://www.stanleytools.com/product/stht20139l/rubber-grip-hacksaw</x:v>
      </x:c>
      <x:c r="O79" s="64" t="str"/>
      <x:c r="P79" s="64" t="str">
        <x:v>https://www.stanleytools.com/product/stht20139l/rubber-grip-hacksaw</x:v>
      </x:c>
    </x:row>
    <x:row r="80" ht="84" customHeight="1">
      <x:c r="A80" s="27" t="str">
        <x:v>P6</x:v>
      </x:c>
      <x:c r="B80" s="27" t="str">
        <x:v>Matched connector crimp tool</x:v>
      </x:c>
      <x:c r="C80" s="27" t="str">
        <x:v>Engineer PA-09 after selecting terminal family; use factory-made cables for the first ROBOTIS joints</x:v>
      </x:c>
      <x:c r="D80" s="27" t="str">
        <x:v>Factory-made connector leads first; Engineer PA-09 only after terminal selection</x:v>
      </x:c>
      <x:c r="E80" s="66" t="str">
        <x:v>Defer</x:v>
      </x:c>
      <x:c r="F80" s="27" t="str">
        <x:v>A broad crimp tool is not automatically correct for every contact. Premade leads reduce the first purchase and assembly errors.</x:v>
      </x:c>
      <x:c r="G80" s="27" t="str">
        <x:v>Quote required; no verified current price</x:v>
      </x:c>
      <x:c r="H80" s="27" t="str">
        <x:v>Not separately priced; obtain a complete delivered quote. Earlier price notes may include this alternative.</x:v>
      </x:c>
      <x:c r="I80" s="27" t="str">
        <x:v>Terminal-manufacturer hand tool for the exact chosen contact; dedicated ferrule crimper if ferrules are required, not the PA-09</x:v>
      </x:c>
      <x:c r="J80" s="27" t="str">
        <x:v>Later / conditional</x:v>
      </x:c>
      <x:c r="K80" s="27" t="str">
        <x:v>Grouped project decision; refer to component IDs.  Buy only when needed.</x:v>
      </x:c>
      <x:c r="L80" s="27" t="str">
        <x:v>robotics</x:v>
      </x:c>
      <x:c r="M80" s="25"/>
      <x:c r="N80" s="64" t="str">
        <x:v>https://www.engineertools-jp.com/product-page/pa-09-connector-crimping-pliers</x:v>
      </x:c>
      <x:c r="O80" s="64" t="str">
        <x:v>https://robotis.us/products/openrb-150-starter-kit</x:v>
      </x:c>
      <x:c r="P80" s="64" t="str">
        <x:v>https://robotis.us/products/openrb-150-starter-kit</x:v>
      </x:c>
    </x:row>
    <x:row r="81" ht="84" customHeight="1">
      <x:c r="A81" s="27" t="str">
        <x:v>P7</x:v>
      </x:c>
      <x:c r="B81" s="27" t="str">
        <x:v>Actuator family trial</x:v>
      </x:c>
      <x:c r="C81" s="27" t="str">
        <x:v>ROBOTIS OpenRB-150 Tutorial Kit: one OpenRB-150 plus XL330-M288-T, TTL cable and listed screws; optional second identical XL330 after the first joint works</x:v>
      </x:c>
      <x:c r="D81" s="27" t="str">
        <x:v>Start with FS90 unloaded mechanisms; retain OpenRB-150 Tutorial Kit for feedback-controlled leg experiments</x:v>
      </x:c>
      <x:c r="E81" s="66" t="str">
        <x:v>Defer</x:v>
      </x:c>
      <x:c r="F81" s="27" t="str">
        <x:v>A basic PWM servo does not substitute for smart-servo feedback or proven walking torque. Choose after measuring the trial mechanism.</x:v>
      </x:c>
      <x:c r="G81" s="27" t="str">
        <x:v>ROBOSAVVY Tutorial Kit listing £41.20 / £34.33 displayed tax-inclusive/exclusive; no confirmed Israel shipping or landed quote. This current Tutorial listing differs from older Starter bundle listing. Checked 2026-09-29</x:v>
      </x:c>
      <x:c r="H81" s="27" t="str">
        <x:v>Not separately priced; obtain a complete delivered quote. Earlier price notes may include this alternative.</x:v>
      </x:c>
      <x:c r="I81" s="27" t="str">
        <x:v>Reuse a documented positional PWM servo; FEETECH FS90 from Pololu is a small unloaded motion experiment alternative, not a walking-load recommendation</x:v>
      </x:c>
      <x:c r="J81" s="27" t="str">
        <x:v>Later / leg trial</x:v>
      </x:c>
      <x:c r="K81" s="27" t="str">
        <x:v>Grouped project decision; refer to component IDs.  Buy only when needed.</x:v>
      </x:c>
      <x:c r="L81" s="27" t="str">
        <x:v>robotics</x:v>
      </x:c>
      <x:c r="M81" s="25"/>
      <x:c r="N81" s="64" t="str">
        <x:v>https://en.robotis.com/shop_en/item.php?it_id=902-0184-000</x:v>
      </x:c>
      <x:c r="O81" s="64" t="str">
        <x:v>https://robosavvy.co.uk/robotis-openrb-150-tutorial-kit.html</x:v>
      </x:c>
      <x:c r="P81" s="64" t="str">
        <x:v>https://robosavvy.co.uk/robotis-openrb-150-tutorial-kit.html</x:v>
      </x:c>
    </x:row>
    <x:row r="82" ht="84" customHeight="1">
      <x:c r="A82" s="27" t="str">
        <x:v>P8</x:v>
      </x:c>
      <x:c r="B82" s="27" t="str">
        <x:v>Actuator mechanical completion</x:v>
      </x:c>
      <x:c r="C82" s="27" t="str">
        <x:v>XL330-compatible HNX330-N102 horn set, or HNX330-N101 metal horn where justified; correct ROBOTIS frame screws and X3P cables; printed fit coupon before full leg</x:v>
      </x:c>
      <x:c r="D82" s="27" t="str">
        <x:v>Use horns supplied with FS90 now; exact XL330 hardware only with the smart-servo route</x:v>
      </x:c>
      <x:c r="E82" s="66" t="str">
        <x:v>Defer</x:v>
      </x:c>
      <x:c r="F82" s="27" t="str">
        <x:v>Do not stock both actuator families. Bearings and pivots remain design-specific.</x:v>
      </x:c>
      <x:c r="G82" s="27" t="str">
        <x:v>Quote required after joint choice</x:v>
      </x:c>
      <x:c r="H82" s="27" t="str">
        <x:v>Not separately priced; obtain a complete delivered quote. Earlier price notes may include this alternative.</x:v>
      </x:c>
      <x:c r="I82" s="27" t="str">
        <x:v>For a PWM family buy its exact spline horn, retaining screw and mounting bracket; supported pivots get matched bearings/bushings, shafts and spacers</x:v>
      </x:c>
      <x:c r="J82" s="27" t="str">
        <x:v>Later / conditional</x:v>
      </x:c>
      <x:c r="K82" s="27" t="str">
        <x:v>Grouped project decision; refer to component IDs.  Buy only when needed.</x:v>
      </x:c>
      <x:c r="L82" s="27" t="str">
        <x:v>robotics</x:v>
      </x:c>
      <x:c r="M82" s="25"/>
      <x:c r="N82" s="64" t="str">
        <x:v>https://robotis.us/products/hnx330-n102-5pcs</x:v>
      </x:c>
      <x:c r="O82" s="64" t="str">
        <x:v>https://robotis.us/products/hnx330-n101-set</x:v>
      </x:c>
      <x:c r="P82" s="64" t="str">
        <x:v>https://robotis.us/products/hnx330-n101-set</x:v>
      </x:c>
    </x:row>
    <x:row r="83" ht="84" customHeight="1">
      <x:c r="A83" s="27" t="str">
        <x:v>P9</x:v>
      </x:c>
      <x:c r="B83" s="27" t="str">
        <x:v>Actuator power harness</x:v>
      </x:c>
      <x:c r="C83" s="27" t="str">
        <x:v>Externally regulated 5 V bench supply for XL330 trial, correct OpenRB terminal/jumper setup, rated DC cutoff, protection, strain-relieved leads and proper distribution</x:v>
      </x:c>
      <x:c r="D83" s="27" t="str">
        <x:v>Use M2 bench servo rail initially; design mobile-robot distribution after measuring load</x:v>
      </x:c>
      <x:c r="E83" s="66" t="str">
        <x:v>Defer</x:v>
      </x:c>
      <x:c r="F83" s="27" t="str">
        <x:v>Scaling from two servos requires measured peak current, fusing/cutoff and suitable connectors. Reuse the supply but do not assume the small rail scales.</x:v>
      </x:c>
      <x:c r="G83" s="27" t="str">
        <x:v>Harness quote after actuator/current decision; reuse core current-limited bench supply</x:v>
      </x:c>
      <x:c r="H83" s="27" t="str">
        <x:v>Not separately priced; obtain a complete delivered quote. Earlier price notes may include this alternative.</x:v>
      </x:c>
      <x:c r="I83" s="27" t="str">
        <x:v>Separate higher-current actuator distribution when full-robot current exceeds controller path rating; regulator selected for a later mobile battery</x:v>
      </x:c>
      <x:c r="J83" s="27" t="str">
        <x:v>Later / conditional</x:v>
      </x:c>
      <x:c r="K83" s="27" t="str">
        <x:v>Grouped project decision; refer to component IDs.  Buy only when needed.</x:v>
      </x:c>
      <x:c r="L83" s="27" t="str">
        <x:v>robotics</x:v>
      </x:c>
      <x:c r="M83" s="25"/>
      <x:c r="N83" s="64" t="str">
        <x:v>https://emanual.robotis.com/docs/en/parts/controller/openrb-150/</x:v>
      </x:c>
      <x:c r="O83" s="64" t="str">
        <x:v>https://emanual.robotis.com/docs/en/dxl/x/xl330-m288/</x:v>
      </x:c>
      <x:c r="P83" s="64" t="str">
        <x:v>https://emanual.robotis.com/docs/en/dxl/x/xl330-m288/</x:v>
      </x:c>
    </x:row>
    <x:row r="84" ht="84" customHeight="1">
      <x:c r="A84" s="27" t="str">
        <x:v>P10</x:v>
      </x:c>
      <x:c r="B84" s="27" t="str">
        <x:v>Controller and actuator interface</x:v>
      </x:c>
      <x:c r="C84" s="27" t="str">
        <x:v>Use the OpenRB-150 included in P7; Arduino IDE plus Dynamixel2Arduino, or its supported USB bridge/Wizard firmware for PC testing</x:v>
      </x:c>
      <x:c r="D84" s="27" t="str">
        <x:v>Main kit controller drives initial PWM servos; OpenRB comes with later M3 kit</x:v>
      </x:c>
      <x:c r="E84" s="67" t="str">
        <x:v>Included</x:v>
      </x:c>
      <x:c r="F84" s="27" t="str">
        <x:v>No extra motor controller for two hobby servos. Do not purchase the grouped P10 interface twice.</x:v>
      </x:c>
      <x:c r="G84" s="27" t="str">
        <x:v>Included in P7 kit; no second controller budget</x:v>
      </x:c>
      <x:c r="H84" s="27" t="str">
        <x:v>Not separately priced; obtain a complete delivered quote. Earlier price notes may include this alternative.</x:v>
      </x:c>
      <x:c r="I84" s="27" t="str">
        <x:v>Existing Arduino with a properly compatible DYNAMIXEL interface shield; ordinary PWM servos can use existing MCU outputs or a dedicated controller only if needed</x:v>
      </x:c>
      <x:c r="J84" s="27" t="str">
        <x:v>Later / conditional</x:v>
      </x:c>
      <x:c r="K84" s="27" t="str">
        <x:v>Grouped project decision; refer to component IDs.  No separate initial purchase.</x:v>
      </x:c>
      <x:c r="L84" s="27" t="str">
        <x:v>robotics</x:v>
      </x:c>
      <x:c r="M84" s="25"/>
      <x:c r="N84" s="64" t="str">
        <x:v>https://emanual.robotis.com/docs/en/parts/controller/openrb-150/</x:v>
      </x:c>
      <x:c r="O84" s="64" t="str">
        <x:v>https://emanual.robotis.com/docs/en/parts/interface/dynamixel_shield/</x:v>
      </x:c>
      <x:c r="P84" s="64" t="str">
        <x:v>https://emanual.robotis.com/docs/en/parts/interface/dynamixel_shield/</x:v>
      </x:c>
    </x:row>
    <x:row r="85" ht="84" customHeight="1">
      <x:c r="A85" s="27" t="str">
        <x:v>P11</x:v>
      </x:c>
      <x:c r="B85" s="27" t="str">
        <x:v>One-leg and body test fixture</x:v>
      </x:c>
      <x:c r="C85" s="27" t="str">
        <x:v>Build a reusable clamped plywood base with printed actuator mount, adjustable load point and supported-body stand; use existing clamps, ruler and scale</x:v>
      </x:c>
      <x:c r="D85" s="27" t="str">
        <x:v>Build a reusable clamped plywood base with printed actuator mount, adjustable load point and supported-body stand; use existing clamps, ruler and scale</x:v>
      </x:c>
      <x:c r="E85" s="67" t="str">
        <x:v>Reuse</x:v>
      </x:c>
      <x:c r="F85" s="27" t="str">
        <x:v>Plywood offcut, printed brackets and existing clamps give a useful supported joint fixture. Aluminum extrusion is a later convenience.</x:v>
      </x:c>
      <x:c r="G85" s="27" t="str">
        <x:v>Local cut-to-size material quote; reuse core clamps and fasteners</x:v>
      </x:c>
      <x:c r="H85" s="27" t="str">
        <x:v>Same candidate: see previous price. No new price claim.</x:v>
      </x:c>
      <x:c r="I85" s="27" t="str">
        <x:v>Small aluminum-extrusion fixture if frequent geometry changes justify it</x:v>
      </x:c>
      <x:c r="J85" s="27" t="str">
        <x:v>Later / conditional</x:v>
      </x:c>
      <x:c r="K85" s="27" t="str">
        <x:v>Grouped project decision; refer to component IDs. </x:v>
      </x:c>
      <x:c r="L85" s="27" t="str">
        <x:v>robotics</x:v>
      </x:c>
      <x:c r="M85" s="25"/>
      <x:c r="N85" s="64" t="str">
        <x:v>https://emanual.robotis.com/docs/en/dxl/x/xl330-m288/</x:v>
      </x:c>
      <x:c r="O85" s="64" t="str"/>
      <x:c r="P85" s="64" t="str">
        <x:v>https://emanual.robotis.com/docs/en/dxl/x/xl330-m288/</x:v>
      </x:c>
    </x:row>
    <x:row r="86" ht="84" customHeight="1">
      <x:c r="A86" s="27" t="str">
        <x:v>P12</x:v>
      </x:c>
      <x:c r="B86" s="27" t="str">
        <x:v>USB camera and repeatable mount</x:v>
      </x:c>
      <x:c r="C86" s="27" t="str">
        <x:v>Logitech C920s with tripod-compatible mounting and a small stable stand; first reuse any existing USB webcam</x:v>
      </x:c>
      <x:c r="D86" s="27" t="str">
        <x:v>Existing USB webcam and printed stable mount; Logitech C920s if none is suitable</x:v>
      </x:c>
      <x:c r="E86" s="67" t="str">
        <x:v>Reuse</x:v>
      </x:c>
      <x:c r="F86" s="27" t="str">
        <x:v>Test field of view, focus distance and lighting before buying a camera. Pi camera requires a chosen onboard Pi.</x:v>
      </x:c>
      <x:c r="G86" s="27" t="str">
        <x:v>Quote from local Israel retailer; no verified current local price</x:v>
      </x:c>
      <x:c r="H86" s="27" t="str">
        <x:v>Not separately priced; obtain a complete delivered quote. Earlier price notes may include this alternative.</x:v>
      </x:c>
      <x:c r="I86" s="27" t="str">
        <x:v>Raspberry Pi Camera Module 3 only when an onboard Pi is actually selected</x:v>
      </x:c>
      <x:c r="J86" s="27" t="str">
        <x:v>Later / conditional</x:v>
      </x:c>
      <x:c r="K86" s="27" t="str">
        <x:v>Grouped project decision; refer to component IDs. </x:v>
      </x:c>
      <x:c r="L86" s="27" t="str">
        <x:v>robotics</x:v>
      </x:c>
      <x:c r="M86" s="25"/>
      <x:c r="N86" s="64" t="str">
        <x:v>https://support.logi.com/hc/en-001/articles/360023303514-C920s-HD-Pro-Webcam-Technical-Specifications</x:v>
      </x:c>
      <x:c r="O86" s="64" t="str">
        <x:v>https://www.raspberrypi.com/products/camera-module-3/</x:v>
      </x:c>
      <x:c r="P86" s="64" t="str">
        <x:v>https://www.raspberrypi.com/products/camera-module-3/</x:v>
      </x:c>
    </x:row>
    <x:row r="87" ht="105" customHeight="1">
      <x:c r="A87" s="27" t="str">
        <x:v>P13</x:v>
      </x:c>
      <x:c r="B87" s="27" t="str">
        <x:v>Orientation, range and contact sensing</x:v>
      </x:c>
      <x:c r="C87" s="27" t="str">
        <x:v>Use B1 kit Modulino Movement and Distance first. Optional contact switches S4.</x:v>
      </x:c>
      <x:c r="D87" s="27" t="str">
        <x:v>Grove kit accelerometer for basic motion; S1 range module and S2 gyro-capable IMU only as needed</x:v>
      </x:c>
      <x:c r="E87" s="68" t="str">
        <x:v>Conditional</x:v>
      </x:c>
      <x:c r="F87" s="27" t="str">
        <x:v>Grove lacks the Arduino kit distance sensor and gyroscope. Simple contact switches can answer some detection tasks but do not measure range or orientation.</x:v>
      </x:c>
      <x:c r="G87" s="27" t="str">
        <x:v>Included in kit; optional switches extra.</x:v>
      </x:c>
      <x:c r="H87" s="27" t="str">
        <x:v>Not separately priced; obtain a complete delivered quote. Earlier price notes may include this alternative.</x:v>
      </x:c>
      <x:c r="I87" s="27" t="str">
        <x:v>Use existing documented IMU/distance sensors first; start with switches where simple contact is sufficient Earlier Adafruit BNO085 #4754 suggestion is superseded as default because of documented I2C platform limitations. LSM6DSOX and VL53L1X alternatives are detailed in S1/S2.</x:v>
      </x:c>
      <x:c r="J87" s="27" t="str">
        <x:v>Included in kit</x:v>
      </x:c>
      <x:c r="K87" s="27" t="str">
        <x:v>Grouped project decision; refer to component IDs. </x:v>
      </x:c>
      <x:c r="L87" s="27" t="str">
        <x:v>robotics</x:v>
      </x:c>
      <x:c r="M87" s="25"/>
      <x:c r="N87" s="64" t="str">
        <x:v>https://www.adafruit.com/product/4754</x:v>
      </x:c>
      <x:c r="O87" s="64" t="str">
        <x:v>https://www.adafruit.com/product/3967</x:v>
      </x:c>
      <x:c r="P87" s="64" t="str">
        <x:v>https://wiki.seeedstudio.com/Grove-Beginner-Kit-For-Arduino/
https://www.adafruit.com/product/3967</x:v>
      </x:c>
    </x:row>
    <x:row r="88" ht="84" customHeight="1">
      <x:c r="A88" s="27" t="str">
        <x:v>P14</x:v>
      </x:c>
      <x:c r="B88" s="27" t="str">
        <x:v>USB serial adapter</x:v>
      </x:c>
      <x:c r="C88" s="27" t="str">
        <x:v>Adafruit CP2102N Friend #5335</x:v>
      </x:c>
      <x:c r="D88" s="27" t="str">
        <x:v>Adafruit CP2102N Friend #5335</x:v>
      </x:c>
      <x:c r="E88" s="66" t="str">
        <x:v>Defer</x:v>
      </x:c>
      <x:c r="F88" s="27" t="str">
        <x:v>Buy USB-UART adapter only for an exposed UART that the selected board cannot already bridge.</x:v>
      </x:c>
      <x:c r="G88" s="27" t="str">
        <x:v>US$5.95 observed, excluding shipping/tax</x:v>
      </x:c>
      <x:c r="H88" s="27" t="str">
        <x:v>Same candidate: see previous price. No new price claim.</x:v>
      </x:c>
      <x:c r="I88" s="27" t="str">
        <x:v>Skip if the existing boards expose every needed UART over USB</x:v>
      </x:c>
      <x:c r="J88" s="27" t="str">
        <x:v>Later / conditional</x:v>
      </x:c>
      <x:c r="K88" s="27" t="str">
        <x:v>Grouped project decision; refer to component IDs.  Buy only when needed.</x:v>
      </x:c>
      <x:c r="L88" s="27" t="str">
        <x:v>robotics</x:v>
      </x:c>
      <x:c r="M88" s="25"/>
      <x:c r="N88" s="64" t="str">
        <x:v>https://www.adafruit.com/product/5335</x:v>
      </x:c>
      <x:c r="O88" s="64" t="str">
        <x:v>https://learn.adafruit.com/adafruit-cp2102n-cp2104-friend-usb-to-serial-converter/pinouts</x:v>
      </x:c>
      <x:c r="P88" s="64" t="str">
        <x:v>https://www.adafruit.com/product/5335</x:v>
      </x:c>
    </x:row>
    <x:row r="89" ht="84" customHeight="1">
      <x:c r="A89" s="27" t="str">
        <x:v>P15</x:v>
      </x:c>
      <x:c r="B89" s="27" t="str">
        <x:v>Logic analyzer / oscilloscope access</x:v>
      </x:c>
      <x:c r="C89" s="27" t="str">
        <x:v>Borrow first; DSLogic U3Pro16 if repeated protocol debugging justifies purchase</x:v>
      </x:c>
      <x:c r="D89" s="27" t="str">
        <x:v>Borrow instrument access first; retain DSLogic, Saleae and Analog Discovery as distinct future options</x:v>
      </x:c>
      <x:c r="E89" s="66" t="str">
        <x:v>Defer</x:v>
      </x:c>
      <x:c r="F89" s="27" t="str">
        <x:v>Do not equate a digital logic analyzer with an oscilloscope. Choose after bandwidth, channel and analog requirements are known.</x:v>
      </x:c>
      <x:c r="G89" s="27" t="str">
        <x:v>DSLogic U3Pro16 manufacturer shop lists US$299 sale, US$399 regular; alternatives require quote</x:v>
      </x:c>
      <x:c r="H89" s="27" t="str">
        <x:v>Not separately priced; obtain a complete delivered quote. Earlier price notes may include this alternative.</x:v>
      </x:c>
      <x:c r="I89" s="27" t="str">
        <x:v>Saleae Logic 8 for its software workflow; Digilent Analog Discovery 3 when compact analog plus digital work is the requirement</x:v>
      </x:c>
      <x:c r="J89" s="27" t="str">
        <x:v>Later / conditional</x:v>
      </x:c>
      <x:c r="K89" s="27" t="str">
        <x:v>Grouped project decision; refer to component IDs.  Buy only when needed.</x:v>
      </x:c>
      <x:c r="L89" s="27" t="str">
        <x:v>robotics</x:v>
      </x:c>
      <x:c r="M89" s="25"/>
      <x:c r="N89" s="64" t="str">
        <x:v>https://www.dreamsourcelab.com/shop/logic-analyzer/dslogic-u3pro16/</x:v>
      </x:c>
      <x:c r="O89" s="64" t="str">
        <x:v>https://www.digikey.co.il/he/products/detail/digilent-inc/410-415/19235661</x:v>
      </x:c>
      <x:c r="P89" s="64" t="str">
        <x:v>https://www.digikey.co.il/he/products/detail/digilent-inc/410-415/19235661</x:v>
      </x:c>
    </x:row>
    <x:row r="90" ht="84" customHeight="1">
      <x:c r="A90" s="27" t="str">
        <x:v>P16</x:v>
      </x:c>
      <x:c r="B90" s="27" t="str">
        <x:v>Alternative motion experiment</x:v>
      </x:c>
      <x:c r="C90" s="27" t="str">
        <x:v>For a wheeled mechanism: Pololu 50:1 Micro Metal Gearmotor LP 6 V with encoder #5108 plus DRV8833 carrier #2130</x:v>
      </x:c>
      <x:c r="D90" s="27" t="str">
        <x:v>For a wheeled mechanism: Pololu 50:1 Micro Metal Gearmotor LP 6 V with encoder #5108 plus DRV8833 carrier #2130</x:v>
      </x:c>
      <x:c r="E90" s="66" t="str">
        <x:v>Defer</x:v>
      </x:c>
      <x:c r="F90" s="27" t="str">
        <x:v>Choose wheels OR stepper for a defined experiment. Buying every motor family now adds mounts, drivers and wiring without a project.</x:v>
      </x:c>
      <x:c r="G90" s="27" t="str">
        <x:v>Quote complete motor/driver/hub/cable set; no verified current basket price</x:v>
      </x:c>
      <x:c r="H90" s="27" t="str">
        <x:v>Same candidate: see previous price. No new price claim.</x:v>
      </x:c>
      <x:c r="I90" s="27" t="str">
        <x:v>For a positioning mechanism: documented bipolar stepper plus Pololu DRV8825 #2133, motor phase current and supply selected together</x:v>
      </x:c>
      <x:c r="J90" s="27" t="str">
        <x:v>Later / conditional</x:v>
      </x:c>
      <x:c r="K90" s="27" t="str">
        <x:v>Grouped project decision; refer to component IDs.  Buy only when needed.</x:v>
      </x:c>
      <x:c r="L90" s="27" t="str">
        <x:v>robotics</x:v>
      </x:c>
      <x:c r="M90" s="25"/>
      <x:c r="N90" s="64" t="str">
        <x:v>https://www.pololu.com/product/5108</x:v>
      </x:c>
      <x:c r="O90" s="64" t="str">
        <x:v>https://www.pololu.com/product/2130</x:v>
      </x:c>
      <x:c r="P90" s="64" t="str">
        <x:v>https://www.pololu.com/product/5108</x:v>
      </x:c>
    </x:row>
    <x:row r="91" ht="90" customHeight="1">
      <x:c r="A91" s="27" t="str">
        <x:v>P17</x:v>
      </x:c>
      <x:c r="B91" s="27" t="str">
        <x:v>Mobile robot battery and charger</x:v>
      </x:c>
      <x:c r="C91" s="27" t="str">
        <x:v>Keep robot tethered initially; select a protected/documented pack and regulator after voltage, measured peak current, mass and runtime are known. SkyRC B6ACneo is a charger candidate for compatible hobby packs</x:v>
      </x:c>
      <x:c r="D91" s="27" t="str">
        <x:v>Keep robot tethered initially; select a protected/documented pack and regulator after voltage, measured peak current, mass and runtime are known. SkyRC B6ACneo is a charger candidate for compatible hobby packs</x:v>
      </x:c>
      <x:c r="E91" s="66" t="str">
        <x:v>Defer</x:v>
      </x:c>
      <x:c r="F91" s="27" t="str">
        <x:v>Tethered bench power avoids premature battery and charger choices. Later match chemistry, voltage, peak current, mass and runtime.</x:v>
      </x:c>
      <x:c r="G91" s="27" t="str">
        <x:v>Design-dependent quote; no battery price asserted</x:v>
      </x:c>
      <x:c r="H91" s="27" t="str">
        <x:v>Same candidate: see previous price. No new price claim.</x:v>
      </x:c>
      <x:c r="I91" s="27" t="str">
        <x:v>Use a manufacturer-matched battery/charger ecosystem for the chosen robot platform</x:v>
      </x:c>
      <x:c r="J91" s="27" t="str">
        <x:v>Later / conditional</x:v>
      </x:c>
      <x:c r="K91" s="27" t="str">
        <x:v>Grouped project decision; refer to component IDs.  Buy only when needed.</x:v>
      </x:c>
      <x:c r="L91" s="27" t="str">
        <x:v>robotics</x:v>
      </x:c>
      <x:c r="M91" s="25"/>
      <x:c r="N91" s="64" t="str">
        <x:v>https://www2.skyrc.com/b6acneo/</x:v>
      </x:c>
      <x:c r="O91" s="64" t="str">
        <x:v>https://emanual.robotis.com/docs/en/dxl/x/xl330-m288/</x:v>
      </x:c>
      <x:c r="P91" s="64" t="str">
        <x:v>https://www2.skyrc.com/b6acneo/</x:v>
      </x:c>
    </x:row>
    <x:row r="92" ht="84" customHeight="1">
      <x:c r="A92" s="27" t="str">
        <x:v>P18</x:v>
      </x:c>
      <x:c r="B92" s="27" t="str">
        <x:v>Onboard vision computer</x:v>
      </x:c>
      <x:c r="C92" s="27" t="str">
        <x:v>Existing computer first; Raspberry Pi 5 with cooling, storage and regulated power is a later candidate</x:v>
      </x:c>
      <x:c r="D92" s="27" t="str">
        <x:v>Existing computer first; Raspberry Pi 5 with cooling, storage and regulated power is a later candidate</x:v>
      </x:c>
      <x:c r="E92" s="67" t="str">
        <x:v>Reuse</x:v>
      </x:c>
      <x:c r="F92" s="27" t="str">
        <x:v>Run perception on the existing computer first. Buy Pi, camera and accelerator only after profiling latency and power needs.</x:v>
      </x:c>
      <x:c r="G92" s="27" t="str">
        <x:v>Quote complete SBC/cooling/storage/power set at purchase; no current RAM-dependent price assumed</x:v>
      </x:c>
      <x:c r="H92" s="27" t="str">
        <x:v>Same candidate: see previous price. No new price claim.</x:v>
      </x:c>
      <x:c r="I92" s="27" t="str">
        <x:v>Keep perception on the host and send compact movement commands; choose an accelerator only after profiling the actual model</x:v>
      </x:c>
      <x:c r="J92" s="27" t="str">
        <x:v>Later / conditional</x:v>
      </x:c>
      <x:c r="K92" s="27" t="str">
        <x:v>Grouped project decision; refer to component IDs. </x:v>
      </x:c>
      <x:c r="L92" s="27" t="str">
        <x:v>robotics</x:v>
      </x:c>
      <x:c r="M92" s="25"/>
      <x:c r="N92" s="64" t="str">
        <x:v>https://www.raspberrypi.com/products/raspberry-pi-5/</x:v>
      </x:c>
      <x:c r="O92" s="64" t="str">
        <x:v>https://www.raspberrypi.com/products/camera-module-3/</x:v>
      </x:c>
      <x:c r="P92" s="64" t="str">
        <x:v>https://www.raspberrypi.com/products/raspberry-pi-5/</x:v>
      </x:c>
    </x:row>
    <x:row r="93" ht="84" customHeight="1">
      <x:c r="A93" s="27" t="str">
        <x:v>P19</x:v>
      </x:c>
      <x:c r="B93" s="27" t="str">
        <x:v>Jumping development equipment</x:v>
      </x:c>
      <x:c r="C93" s="27" t="str">
        <x:v>Separate one-leg constrained jumping test fixture; choose actuation only after jump height, robot mass, travel, energy and impact requirements are defined</x:v>
      </x:c>
      <x:c r="D93" s="27" t="str">
        <x:v>Separate one-leg constrained jumping test fixture; choose actuation only after jump height, robot mass, travel, energy and impact requirements are defined</x:v>
      </x:c>
      <x:c r="E93" s="66" t="str">
        <x:v>Defer</x:v>
      </x:c>
      <x:c r="F93" s="27" t="str">
        <x:v>Jumping needs its own mechanical and impact design. No motor or spring purchase can be justified from the current requirements.</x:v>
      </x:c>
      <x:c r="G93" s="27" t="str">
        <x:v>Deferred engineering decision; quote after concept selection</x:v>
      </x:c>
      <x:c r="H93" s="27" t="str">
        <x:v>Same candidate: see previous price. No new price claim.</x:v>
      </x:c>
      <x:c r="I93" s="27" t="str">
        <x:v>Spring-assisted mechanism if calculations and containment design justify it; do not assume more powerful hobby servos solve the task</x:v>
      </x:c>
      <x:c r="J93" s="27" t="str">
        <x:v>Later / conditional</x:v>
      </x:c>
      <x:c r="K93" s="27" t="str">
        <x:v>Grouped project decision; refer to component IDs.  Buy only when needed.</x:v>
      </x:c>
      <x:c r="L93" s="27" t="str">
        <x:v>robotics</x:v>
      </x:c>
      <x:c r="M93" s="25"/>
      <x:c r="N93" s="64" t="str">
        <x:v>https://emanual.robotis.com/docs/en/dxl/x/xl330-m288/</x:v>
      </x:c>
      <x:c r="O93" s="64" t="str"/>
      <x:c r="P93" s="64" t="str">
        <x:v>https://emanual.robotis.com/docs/en/dxl/x/xl330-m288/</x:v>
      </x:c>
    </x:row>
    <x:row r="94" ht="90" customHeight="1">
      <x:c r="A94" s="27" t="str">
        <x:v>P20</x:v>
      </x:c>
      <x:c r="B94" s="27" t="str">
        <x:v>Drone learning platform and control</x:v>
      </x:c>
      <x:c r="C94" s="27" t="str">
        <x:v>First RadioMaster Pocket ELRS 2.4 GHz with USB simulator cable and Liftoff: Micro Drones; later BETAFPV Air65 II analog ELRS 2.4 GHz whoop plus compatible 5.8 GHz analog goggles such as VR03</x:v>
      </x:c>
      <x:c r="D94" s="27" t="str">
        <x:v>Simulator first; retain Pocket ELRS and compatible Air65 II path for later</x:v>
      </x:c>
      <x:c r="E94" s="66" t="str">
        <x:v>Defer</x:v>
      </x:c>
      <x:c r="F94" s="27" t="str">
        <x:v>Do not buy radio, aircraft and goggles now. A complete compatible beginner bundle is worth a delivered-price comparison when drones begin.</x:v>
      </x:c>
      <x:c r="G94" s="27" t="str">
        <x:v>Pocket page displayed US$71.50, exact ELRS variant quote required; VR03 listing US$74.99. Whoop and simulator price require current variant/region quote</x:v>
      </x:c>
      <x:c r="H94" s="27" t="str">
        <x:v>Not separately priced; obtain a complete delivered quote. Earlier price notes may include this alternative.</x:v>
      </x:c>
      <x:c r="I94" s="27" t="str">
        <x:v>A complete compatible beginner tinywhoop bundle after confirming radio protocol and analog/digital video ecosystem</x:v>
      </x:c>
      <x:c r="J94" s="27" t="str">
        <x:v>Later / conditional</x:v>
      </x:c>
      <x:c r="K94" s="27" t="str">
        <x:v>Grouped project decision; refer to component IDs.  Buy only when needed.</x:v>
      </x:c>
      <x:c r="L94" s="27" t="str">
        <x:v>robotics</x:v>
      </x:c>
      <x:c r="M94" s="25"/>
      <x:c r="N94" s="64" t="str">
        <x:v>https://radiomasterrc.com/products/pocket-radio-controller-m2</x:v>
      </x:c>
      <x:c r="O94" s="64" t="str">
        <x:v>https://betafpv.com/products/air65-ii-brushless-whoop-quadcopter</x:v>
      </x:c>
      <x:c r="P94" s="64" t="str">
        <x:v>https://betafpv.com/products/air65-ii-brushless-whoop-quadcopter</x:v>
      </x:c>
    </x:row>
    <x:row r="95" ht="84" customHeight="1">
      <x:c r="A95" s="27" t="str">
        <x:v>P21</x:v>
      </x:c>
      <x:c r="B95" s="27" t="str">
        <x:v>Tinywhoop power and charging</x:v>
      </x:c>
      <x:c r="C95" s="27" t="str">
        <x:v>For the Air65 II candidate: BETAFPV LAVA II 1S BT2.0 pack in a manufacturer-recommended size, plus HexaCharger Pro and correctly rated USB-C PD supply/cable</x:v>
      </x:c>
      <x:c r="D95" s="27" t="str">
        <x:v>For the Air65 II candidate: BETAFPV LAVA II 1S BT2.0 pack in a manufacturer-recommended size, plus HexaCharger Pro and correctly rated USB-C PD supply/cable</x:v>
      </x:c>
      <x:c r="E95" s="66" t="str">
        <x:v>Defer</x:v>
      </x:c>
      <x:c r="F95" s="27" t="str">
        <x:v>Battery connector, chemistry, size and charger follow the actual aircraft. No standalone battery bargain before that decision.</x:v>
      </x:c>
      <x:c r="G95" s="27" t="str">
        <x:v>HexaCharger Pro variant US$29.99 observed; LAVA II family from US$19.99 but exact pack variant/quantity quote required</x:v>
      </x:c>
      <x:c r="H95" s="27" t="str">
        <x:v>Same candidate: see previous price. No new price claim.</x:v>
      </x:c>
      <x:c r="I95" s="27" t="str">
        <x:v>Other documented BT2.0 1S LiHV packs only after size, weight and chemistry confirmation; no parallel charging board needed for this path</x:v>
      </x:c>
      <x:c r="J95" s="27" t="str">
        <x:v>Later / conditional</x:v>
      </x:c>
      <x:c r="K95" s="27" t="str">
        <x:v>Grouped project decision; refer to component IDs.  Buy only when needed.</x:v>
      </x:c>
      <x:c r="L95" s="27" t="str">
        <x:v>robotics</x:v>
      </x:c>
      <x:c r="M95" s="25"/>
      <x:c r="N95" s="64" t="str">
        <x:v>https://betafpv.com/products/hexacharger-1s-charger</x:v>
      </x:c>
      <x:c r="O95" s="64" t="str">
        <x:v>https://betafpv.com/products/lava-ii-1s-battery</x:v>
      </x:c>
      <x:c r="P95" s="64" t="str">
        <x:v>https://betafpv.com/products/hexacharger-1s-charger</x:v>
      </x:c>
    </x:row>
    <x:row r="96" ht="84" customHeight="1">
      <x:c r="A96" s="27" t="str">
        <x:v>P22</x:v>
      </x:c>
      <x:c r="B96" s="27" t="str">
        <x:v>Drone field and repair kit</x:v>
      </x:c>
      <x:c r="C96" s="27" t="str">
        <x:v>Small case, exact Air65 II spare propellers and frame, suitable driver, prop tool, battery labels, USB data cable and documented firmware/config backup</x:v>
      </x:c>
      <x:c r="D96" s="27" t="str">
        <x:v>Core drivers, labels and case first; exact aircraft spares after selection</x:v>
      </x:c>
      <x:c r="E96" s="67" t="str">
        <x:v>Reuse</x:v>
      </x:c>
      <x:c r="F96" s="27" t="str">
        <x:v>Only aircraft-specific props/frame add new capability. Do not duplicate the bench tool kit.</x:v>
      </x:c>
      <x:c r="G96" s="27" t="str">
        <x:v>Manufacturer Air65 II frame listing US$4.99; remaining kit quote after exact aircraft variant</x:v>
      </x:c>
      <x:c r="H96" s="27" t="str">
        <x:v>Not separately priced; obtain a complete delivered quote. Earlier price notes may include this alternative.</x:v>
      </x:c>
      <x:c r="I96" s="27" t="str">
        <x:v>Reuse core bench tools; add only spares that match the final aircraft revision</x:v>
      </x:c>
      <x:c r="J96" s="27" t="str">
        <x:v>Later / conditional</x:v>
      </x:c>
      <x:c r="K96" s="27" t="str">
        <x:v>Grouped project decision; refer to component IDs. </x:v>
      </x:c>
      <x:c r="L96" s="27" t="str">
        <x:v>robotics</x:v>
      </x:c>
      <x:c r="M96" s="25"/>
      <x:c r="N96" s="64" t="str">
        <x:v>https://betafpv.com/collections/parts-spares</x:v>
      </x:c>
      <x:c r="O96" s="64" t="str">
        <x:v>https://support.betafpv.com/hc/en-us/articles/54654422544409-CLI-and-Firmware-for-Air65-II</x:v>
      </x:c>
      <x:c r="P96" s="64" t="str">
        <x:v>https://support.betafpv.com/hc/en-us/articles/54654422544409-CLI-and-Firmware-for-Air65-II</x:v>
      </x:c>
    </x:row>
    <x:row r="97" ht="105" customHeight="1">
      <x:c r="A97" s="27" t="str">
        <x:v>B1</x:v>
      </x:c>
      <x:c r="B97" s="27" t="str">
        <x:v>Main board and matched sensor kit</x:v>
      </x:c>
      <x:c r="C97" s="27" t="str">
        <x:v>Arduino Plug and Make Kit AKX00069 (includes genuine UNO R4 WiFi ABX00087)</x:v>
      </x:c>
      <x:c r="D97" s="27" t="str">
        <x:v>Seeed Grove Beginner Kit for Arduino, 110061162</x:v>
      </x:c>
      <x:c r="E97" s="65" t="str">
        <x:v>Replace</x:v>
      </x:c>
      <x:c r="F97" s="27" t="str">
        <x:v>Matched value kit with ATmega328P controller and ten modules. No Wi-Fi, gyro or distance sensor. Arduino AKX00069 remains the richer convenience route. Choose ONE kit. Match libraries to received revision: newer kit changes DHT11/BMP280 to DHT20/SPA06-003.</x:v>
      </x:c>
      <x:c r="G97" s="27" t="str">
        <x:v>Mouser Israel: USD87.40, stock shown. Import duties/taxes collected at delivery; shipping not included in this quote. Official Arduino alternative EUR95.20 displayed incl VAT; Israel checkout unverified. Standalone UNO fallback ₪160.80 incl VAT; buy only if replacing kit route. Checked 29 Sep 2026.</x:v>
      </x:c>
      <x:c r="H97" s="27" t="str">
        <x:v>Mouser Israel USD 23.90, stock shown. Previous Arduino kit USD 87.40. Difference USD 63.50 before shipping/imports.</x:v>
      </x:c>
      <x:c r="I97" s="27" t="str">
        <x:v>Standalone Arduino UNO R4 WiFi ABX00087 at 4project, plus individual sensors only if kit unavailable; do not buy both</x:v>
      </x:c>
      <x:c r="J97" s="27" t="str">
        <x:v>Buy now — replaces separate main board and seven starter modules</x:v>
      </x:c>
      <x:c r="K97" s="27" t="str">
        <x:v>1</x:v>
      </x:c>
      <x:c r="L97" s="27" t="str">
        <x:v>controllers</x:v>
      </x:c>
      <x:c r="M97" s="25"/>
      <x:c r="N97" s="64" t="str">
        <x:v>https://docs-content.arduino.cc/resources/datasheets/AKX00069-datasheet.pdf</x:v>
      </x:c>
      <x:c r="O97" s="64" t="str">
        <x:v>https://www.mouser.co.il/en/ProductDetail/Arduino/AKX00069?qs=i8QVZAFTkqQAxzOkAzGAJA%3D%3D
https://store.arduino.cc/products/plug-and-make-kit
https://github.com/arduino-libraries/Arduino_Modulino/blob/main/src/Modulino.h
https://www.4project.co.il/product/arduino-uno-r4-wifi
https://github.com/arduino-libraries/Servo/blob/master/library.properties</x:v>
      </x:c>
      <x:c r="P97" s="64" t="str">
        <x:v>https://www.mouser.co.il/en/ProductDetail/Seeed-Studio/110061162?qs=sGAEpiMZZMuqBwn8WqcFUj1SFkunHY10z0DcZYcAqOU0KAQAImx8Aw%3D%3D
https://wiki.seeedstudio.com/Grove-Beginner-Kit-For-Arduino/</x:v>
      </x:c>
    </x:row>
    <x:row r="98" ht="84" customHeight="1">
      <x:c r="A98" s="27" t="str">
        <x:v>B2</x:v>
      </x:c>
      <x:c r="B98" s="27" t="str">
        <x:v>Compact wireless controller</x:v>
      </x:c>
      <x:c r="C98" s="27" t="str">
        <x:v>Arduino Nano ESP32 WITH HEADERS ABX00083</x:v>
      </x:c>
      <x:c r="D98" s="27" t="str">
        <x:v>Seeed XIAO ESP32S3 113991114, or pre-soldered 102010634</x:v>
      </x:c>
      <x:c r="E98" s="65" t="str">
        <x:v>Replace</x:v>
      </x:c>
      <x:c r="F98" s="27" t="str">
        <x:v>Later compact wireless controller. Arduino IDE support, 3.3 V logic and fewer pins than UNO. Headerless $7.49 version requires soldering for breadboard use; check libraries and exact pin mapping.</x:v>
      </x:c>
      <x:c r="G98" s="27" t="str">
        <x:v>OfficialArduino€21.60 displayedVATincluded, shipping/Israelimport costs unverified. Local headerlessABX00092₪105.20inclVAT +headers; availability not stated as verifiedstock. Checked2026-09-29.</x:v>
      </x:c>
      <x:c r="H98" s="27" t="str">
        <x:v>DigiKey USD 7.49 board. Related pre-soldered listing USD 8.49. Shipping/import costs excluded; stock and pre-soldered variant price at checkout.</x:v>
      </x:c>
      <x:c r="I98" s="27" t="str">
        <x:v>Local Arduino Nano ESP32ABX00092 without headers + solder2×15-pin2.54mm headers; no need to purchaseboth</x:v>
      </x:c>
      <x:c r="J98" s="27" t="str">
        <x:v>Later — compact independent gadget</x:v>
      </x:c>
      <x:c r="K98" s="27" t="str">
        <x:v>1</x:v>
      </x:c>
      <x:c r="L98" s="27" t="str">
        <x:v>controllers</x:v>
      </x:c>
      <x:c r="M98" s="25"/>
      <x:c r="N98" s="64" t="str">
        <x:v>https://docs.arduino.cc/resources/datasheets/ABX00083-datasheet.pdf</x:v>
      </x:c>
      <x:c r="O98" s="64" t="str">
        <x:v>https://store.arduino.cc/products/nano-esp32-with-headers
https://www.4project.co.il/product/arduino-nano-esp32</x:v>
      </x:c>
      <x:c r="P98" s="64" t="str">
        <x:v>https://www.digikey.com/en/products/detail/seeed-technology-co-ltd/113991114/19285530
https://wiki.seeedstudio.com/xiao_esp32s3_getting_started/</x:v>
      </x:c>
    </x:row>
    <x:row r="99" ht="90" customHeight="1">
      <x:c r="A99" s="27" t="str">
        <x:v>B3</x:v>
      </x:c>
      <x:c r="B99" s="27" t="str">
        <x:v>Programming cable</x:v>
      </x:c>
      <x:c r="C99" s="27" t="str">
        <x:v>SparkFun CAB-16905 USB2.0 Type-C to Type-C1m</x:v>
      </x:c>
      <x:c r="D99" s="27" t="str">
        <x:v>Use selected kit USB cable; buy one matching spare only if needed</x:v>
      </x:c>
      <x:c r="E99" s="67" t="str">
        <x:v>Included</x:v>
      </x:c>
      <x:c r="F99" s="27" t="str">
        <x:v>Use the included cable and confirm its host connector. Arduino UNO R4 and XIAO use USB-C; Grove connector depends on kit revision. Any spare must carry data.</x:v>
      </x:c>
      <x:c r="G99" s="27" t="str">
        <x:v>4project CAB-16905 ILS 42.60 each including VAT, shipping extra. Stock quantity not readable. Alternative WS-25003 ILS 13.77 each incl VAT sale (seller data claim; manufacturer specification not independently verified). Checked 2026-09-29.</x:v>
      </x:c>
      <x:c r="H99" s="27" t="str">
        <x:v>No separate first cable purchase.</x:v>
      </x:c>
      <x:c r="I99" s="27" t="str">
        <x:v>WaveshareWS-25003USB-C100W1m listed by4project as data-capable,₪13.77 sale; manufacturer specification not independently verified, or reuse testedUSB-Cdata cable</x:v>
      </x:c>
      <x:c r="J99" s="27" t="str">
        <x:v>Optional spare — kit includes data cable</x:v>
      </x:c>
      <x:c r="K99" s="27" t="str">
        <x:v>1 No separate initial purchase.</x:v>
      </x:c>
      <x:c r="L99" s="27" t="str">
        <x:v>controllers</x:v>
      </x:c>
      <x:c r="M99" s="25"/>
      <x:c r="N99" s="64" t="str">
        <x:v>https://www.sparkfun.com/usb-2-0-type-c-cable-1-meter.html</x:v>
      </x:c>
      <x:c r="O99" s="64" t="str">
        <x:v>https://www.4project.co.il/section/usb-cables
https://www.4project.co.il/product/usb-type-c-cable-100w-1meter</x:v>
      </x:c>
      <x:c r="P99" s="64" t="str">
        <x:v>https://wiki.seeedstudio.com/Grove-Beginner-Kit-For-Arduino/
https://www.4project.co.il/section/usb-cables
https://www.4project.co.il/product/usb-type-c-cable-100w-1meter</x:v>
      </x:c>
    </x:row>
    <x:row r="100" ht="84" customHeight="1">
      <x:c r="A100" s="27" t="str">
        <x:v>M1</x:v>
      </x:c>
      <x:c r="B100" s="27" t="str">
        <x:v>Small positional servos</x:v>
      </x:c>
      <x:c r="C100" s="27" t="str">
        <x:v>FEETECH FS90 from 4project; includes servo horns and mounting hardware</x:v>
      </x:c>
      <x:c r="D100" s="27" t="str">
        <x:v>Two FEETECH FS90 positional servos from 4project</x:v>
      </x:c>
      <x:c r="E100" s="66" t="str">
        <x:v>Keep</x:v>
      </x:c>
      <x:c r="F100" s="27" t="str">
        <x:v>Already inexpensive documented motors with horns. Good for unloaded mechanisms; no claim they can support a walker or jump. Do not substitute FS90R.</x:v>
      </x:c>
      <x:c r="G100" s="27" t="str">
        <x:v>₪16.40 each incl VAT at 4project; 2 = ₪32.80; listing verified 2026-09-29, live stock/dispatch not explicitly confirmed</x:v>
      </x:c>
      <x:c r="H100" s="27" t="str">
        <x:v>ILS 16.40 each incl VAT; ILS 32.80 for two. Shipping additional/unverified.</x:v>
      </x:c>
      <x:c r="I100" s="27" t="str">
        <x:v>FEETECH FS90-FB / Pololu 3436 if analog position feedback is specifically wanted; do not substitute FS90R continuous-rotation</x:v>
      </x:c>
      <x:c r="J100" s="27" t="str">
        <x:v>Buy first</x:v>
      </x:c>
      <x:c r="K100" s="27" t="str">
        <x:v>2</x:v>
      </x:c>
      <x:c r="L100" s="27" t="str">
        <x:v>motors</x:v>
      </x:c>
      <x:c r="M100" s="25"/>
      <x:c r="N100" s="64" t="str">
        <x:v>https://www.pololu.com/product/2818</x:v>
      </x:c>
      <x:c r="O100" s="64" t="str">
        <x:v>https://www.4project.co.il/product/feetech-fs90-servo-motor</x:v>
      </x:c>
      <x:c r="P100" s="64" t="str">
        <x:v>https://www.4project.co.il/product/feetech-fs90-servo-motor</x:v>
      </x:c>
    </x:row>
    <x:row r="101" ht="90" customHeight="1">
      <x:c r="A101" s="27" t="str">
        <x:v>M2</x:v>
      </x:c>
      <x:c r="B101" s="27" t="str">
        <x:v>Initial servo power and wiring</x:v>
      </x:c>
      <x:c r="C101" s="27" t="str">
        <x:v>Bench supply at 5.0 V + two 3-pin male 2.54 mm servo headers on core perfboard, short 22 AWG power wiring, WAGO 221 supply splices, separate GPIO signal leads and common ground; accessible supply output disable</x:v>
      </x:c>
      <x:c r="D101" s="27" t="str">
        <x:v>External regulated 5 V bench servo rail, core perfboard/headers/wire and common ground</x:v>
      </x:c>
      <x:c r="E101" s="66" t="str">
        <x:v>Keep</x:v>
      </x:c>
      <x:c r="F101" s="27" t="str">
        <x:v>Works with either main kit. Separate servo positive supply from board +5 V. Adjust current limit, check polarity and make output disable reachable.</x:v>
      </x:c>
      <x:c r="G101" s="27" t="str">
        <x:v>Uses core supply, perfboard, headers, wire and terminals; no additional supply purchase. Extra assembled harness or future cutoff/fuse: quote when specified.</x:v>
      </x:c>
      <x:c r="H101" s="27" t="str">
        <x:v>Uses core items already listed. Do not buy the supply twice.</x:v>
      </x:c>
      <x:c r="I101" s="27" t="str">
        <x:v>Documented regulated 5 V supply with sufficient peak current, if bench supply is occupied</x:v>
      </x:c>
      <x:c r="J101" s="27" t="str">
        <x:v>With M1 or M3, before powered testing</x:v>
      </x:c>
      <x:c r="K101" s="27" t="str">
        <x:v>1 harness for the selected servo experiment</x:v>
      </x:c>
      <x:c r="L101" s="27" t="str">
        <x:v>motors</x:v>
      </x:c>
      <x:c r="M101" s="25"/>
      <x:c r="N101" s="64" t="str">
        <x:v>https://learn.sparkfun.com/tutorials/hobby-servo-tutorial/troubleshooting</x:v>
      </x:c>
      <x:c r="O101" s="64" t="str">
        <x:v>https://emanual.robotis.com/docs/en/parts/controller/openrb-150/
https://www.adafruit.com/product/392
https://www.adafruit.com/product/571
https://www.wago.com/gb/installation-terminal-blocks-and-connectors/splicing-connector-with-levers/p/221-412</x:v>
      </x:c>
      <x:c r="P101" s="64" t="str">
        <x:v>https://emanual.robotis.com/docs/en/parts/controller/openrb-150/
https://www.adafruit.com/product/392
https://www.adafruit.com/product/571
https://www.wago.com/gb/installation-terminal-blocks-and-connectors/splicing-connector-with-levers/p/221-412</x:v>
      </x:c>
    </x:row>
    <x:row r="102" ht="84" customHeight="1">
      <x:c r="A102" s="27" t="str">
        <x:v>M3</x:v>
      </x:c>
      <x:c r="B102" s="27" t="str">
        <x:v>Smart-servo trial kit</x:v>
      </x:c>
      <x:c r="C102" s="27" t="str">
        <x:v>ROBOTIS OpenRB-150 Tutorial Kit: one OpenRB-150 plus XL330-M288-T, TTL cable and listed screws; optional second identical XL330 after the first joint works</x:v>
      </x:c>
      <x:c r="D102" s="27" t="str">
        <x:v>ROBOTIS OpenRB-150 Tutorial Kit: one OpenRB-150 plus XL330-M288-T, TTL cable and listed screws; optional second identical XL330 after the first joint works</x:v>
      </x:c>
      <x:c r="E102" s="66" t="str">
        <x:v>Defer</x:v>
      </x:c>
      <x:c r="F102" s="27" t="str">
        <x:v>Retain documented ROBOTIS trial for feedback experiments. FS90 is a cheaper different capability, not equivalent joint performance.</x:v>
      </x:c>
      <x:c r="G102" s="27" t="str">
        <x:v>ROBOSAVVY Tutorial Kit listing £41.20 / £34.33 displayed tax-inclusive/exclusive; no confirmed Israel shipping or landed quote. This current Tutorial listing differs from older Starter bundle listing. Checked 2026-09-29</x:v>
      </x:c>
      <x:c r="H102" s="27" t="str">
        <x:v>Same candidate: see previous price. No new price claim.</x:v>
      </x:c>
      <x:c r="I102" s="27" t="str">
        <x:v>M1 PWM servo for simple motion; choose this smart ecosystem when feedback/control experiments matter</x:v>
      </x:c>
      <x:c r="J102" s="27" t="str">
        <x:v>First robotics leg stage; optional now, not required alongside M1</x:v>
      </x:c>
      <x:c r="K102" s="27" t="str">
        <x:v>1 kit; optionally 1 additional XL330, not 8–12 motors upfront Buy only when needed.</x:v>
      </x:c>
      <x:c r="L102" s="27" t="str">
        <x:v>motors</x:v>
      </x:c>
      <x:c r="M102" s="25"/>
      <x:c r="N102" s="64" t="str">
        <x:v>https://en.robotis.com/shop_en/item.php?it_id=902-0184-000</x:v>
      </x:c>
      <x:c r="O102" s="64" t="str">
        <x:v>https://robosavvy.co.uk/robotis-openrb-150-tutorial-kit.html</x:v>
      </x:c>
      <x:c r="P102" s="64" t="str">
        <x:v>https://en.robotis.com/shop_en/item.php?it_id=902-0184-000</x:v>
      </x:c>
    </x:row>
    <x:row r="103" ht="84" customHeight="1">
      <x:c r="A103" s="27" t="str">
        <x:v>M4</x:v>
      </x:c>
      <x:c r="B103" s="27" t="str">
        <x:v>Smart-servo mechanical completion</x:v>
      </x:c>
      <x:c r="C103" s="27" t="str">
        <x:v>For M3: XL330-compatible HNX330-N102 horn or HNX330-N101 metal horn, exact frame/horn screws, supplied X3P cable, printed fit coupon and clamped one-leg fixture</x:v>
      </x:c>
      <x:c r="D103" s="27" t="str">
        <x:v>Use M1 supplied horns first; exact ROBOTIS completion basket only when M3 selected</x:v>
      </x:c>
      <x:c r="E103" s="66" t="str">
        <x:v>Defer</x:v>
      </x:c>
      <x:c r="F103" s="27" t="str">
        <x:v>Horns, mounting screws and connectors are family-specific. Avoid duplicate hardware across actuator routes.</x:v>
      </x:c>
      <x:c r="G103" s="27" t="str">
        <x:v>Horn and any missing screws quote required; fixture uses core stock/clamps; no verified current local price</x:v>
      </x:c>
      <x:c r="H103" s="27" t="str">
        <x:v>Not separately priced; obtain a complete delivered quote. Earlier price notes may include this alternative.</x:v>
      </x:c>
      <x:c r="I103" s="27" t="str">
        <x:v>Use the FS90 supplied horn for M1; separate pivot needs its own matched bearing/bushing, shaft and retention</x:v>
      </x:c>
      <x:c r="J103" s="27" t="str">
        <x:v>Only with M3; build fixture before loaded testing</x:v>
      </x:c>
      <x:c r="K103" s="27" t="str">
        <x:v>1 horn per joint; inspect kit contents before duplicates; 1 reusable fixture Buy only when needed.</x:v>
      </x:c>
      <x:c r="L103" s="27" t="str">
        <x:v>motors</x:v>
      </x:c>
      <x:c r="M103" s="25"/>
      <x:c r="N103" s="64" t="str">
        <x:v>https://robotis.us/products/hnx330-n102-5pcs</x:v>
      </x:c>
      <x:c r="O103" s="64" t="str">
        <x:v>https://robotis.us/products/hnx330-n101-set</x:v>
      </x:c>
      <x:c r="P103" s="64" t="str">
        <x:v>https://robotis.us/products/hnx330-n101-set</x:v>
      </x:c>
    </x:row>
    <x:row r="104" ht="84" customHeight="1">
      <x:c r="A104" s="27" t="str">
        <x:v>M5</x:v>
      </x:c>
      <x:c r="B104" s="27" t="str">
        <x:v>Encoder gearmotor</x:v>
      </x:c>
      <x:c r="C104" s="27" t="str">
        <x:v>Pololu 5108: 50:1 Micro Metal Gearmotor LP 6 V, 12 CPR encoder with back connector</x:v>
      </x:c>
      <x:c r="D104" s="27" t="str">
        <x:v>Pololu 5108: 50:1 Micro Metal Gearmotor LP 6 V, 12 CPR encoder with back connector</x:v>
      </x:c>
      <x:c r="E104" s="66" t="str">
        <x:v>Defer</x:v>
      </x:c>
      <x:c r="F104" s="27" t="str">
        <x:v>Keep a documented encoder motor when wheel feedback is needed. Choose ratio by measured load/speed; a cheaper bare motor is not an equivalent encoder assembly.</x:v>
      </x:c>
      <x:c r="G104" s="27" t="str">
        <x:v>US$29.95 each from Pololu, excluding delivery/tax; listing permits backorders, live stock not confirmed; checked 2026-09-29</x:v>
      </x:c>
      <x:c r="H104" s="27" t="str">
        <x:v>Same candidate: see previous price. No new price claim.</x:v>
      </x:c>
      <x:c r="I104" s="27" t="str">
        <x:v>Select a different documented ratio after required shaft speed and load are known</x:v>
      </x:c>
      <x:c r="J104" s="27" t="str">
        <x:v>Optional second motion family, not required for servo walker</x:v>
      </x:c>
      <x:c r="K104" s="27" t="str">
        <x:v>1 for a bench control experiment; 2 only for a differential-drive project Buy only when needed.</x:v>
      </x:c>
      <x:c r="L104" s="27" t="str">
        <x:v>motors</x:v>
      </x:c>
      <x:c r="M104" s="25"/>
      <x:c r="N104" s="64" t="str">
        <x:v>https://www.pololu.com/product/5108/specs</x:v>
      </x:c>
      <x:c r="O104" s="64" t="str">
        <x:v>https://www.pololu.com/product/5108</x:v>
      </x:c>
      <x:c r="P104" s="64" t="str">
        <x:v>https://www.pololu.com/product/5108/specs</x:v>
      </x:c>
    </x:row>
    <x:row r="105" ht="84" customHeight="1">
      <x:c r="A105" s="27" t="str">
        <x:v>M6</x:v>
      </x:c>
      <x:c r="B105" s="27" t="str">
        <x:v>DC motor driver</x:v>
      </x:c>
      <x:c r="C105" s="27" t="str">
        <x:v>Genuine Pololu DRV8833 Dual Motor Driver Carrier 2130 / 4project POL-2130</x:v>
      </x:c>
      <x:c r="D105" s="27" t="str">
        <x:v>Genuine Pololu DRV8833 Dual Motor Driver Carrier 2130 / 4project POL-2130</x:v>
      </x:c>
      <x:c r="E105" s="66" t="str">
        <x:v>Defer</x:v>
      </x:c>
      <x:c r="F105" s="27" t="str">
        <x:v>Needed only for the brushed DC motor path. Servos do not need this H-bridge.</x:v>
      </x:c>
      <x:c r="G105" s="27" t="str">
        <x:v>₪55.60 incl VAT at 4project; Pololu US$10.95 listing currently shows Backorder; check local stock. Checked 2026-09-29</x:v>
      </x:c>
      <x:c r="H105" s="27" t="str">
        <x:v>Same candidate: see previous price. No new price claim.</x:v>
      </x:c>
      <x:c r="I105" s="27" t="str">
        <x:v>Skip entirely if only servos are selected; servo motors already contain their own drive electronics</x:v>
      </x:c>
      <x:c r="J105" s="27" t="str">
        <x:v>Only with M5</x:v>
      </x:c>
      <x:c r="K105" s="27" t="str">
        <x:v>1 board handles one or two M5 motors Buy only when needed.</x:v>
      </x:c>
      <x:c r="L105" s="27" t="str">
        <x:v>motors</x:v>
      </x:c>
      <x:c r="M105" s="25"/>
      <x:c r="N105" s="64" t="str">
        <x:v>https://www.pololu.com/product/2130</x:v>
      </x:c>
      <x:c r="O105" s="64" t="str">
        <x:v>https://www.4project.co.il/product/1502</x:v>
      </x:c>
      <x:c r="P105" s="64" t="str">
        <x:v>https://www.pololu.com/product/2130</x:v>
      </x:c>
    </x:row>
    <x:row r="106" ht="84" customHeight="1">
      <x:c r="A106" s="27" t="str">
        <x:v>M7</x:v>
      </x:c>
      <x:c r="B106" s="27" t="str">
        <x:v>DC motor cables and mounts</x:v>
      </x:c>
      <x:c r="C106" s="27" t="str">
        <x:v>Pololu 4763 encoder cable (6-pin, single-ended, 30 cm), 989 Micro Metal Gearmotor Bracket Pair, and 1996 3 mm-shaft hubs with M3 holes if using printed mechanisms</x:v>
      </x:c>
      <x:c r="D106" s="27" t="str">
        <x:v>Pololu 4763 encoder cable (6-pin, single-ended, 30 cm), 989 Micro Metal Gearmotor Bracket Pair, and 1996 3 mm-shaft hubs with M3 holes if using printed mechanisms</x:v>
      </x:c>
      <x:c r="E106" s="66" t="str">
        <x:v>Defer</x:v>
      </x:c>
      <x:c r="F106" s="27" t="str">
        <x:v>Buy the cable and exact mounts with M5. Ready-made wheels can replace printed-wheel hubs; do not buy both by default.</x:v>
      </x:c>
      <x:c r="G106" s="27" t="str">
        <x:v>1996 hub pair US$9.95 observed; cable/bracket quote required. All shipping/taxes additional; checked 2026-09-29</x:v>
      </x:c>
      <x:c r="H106" s="27" t="str">
        <x:v>Same candidate: see previous price. No new price claim.</x:v>
      </x:c>
      <x:c r="I106" s="27" t="str">
        <x:v>Matching Pololu 3 mm D-shaft wheels replace hubs when using ready-made wheels; do not buy both unnecessarily</x:v>
      </x:c>
      <x:c r="J106" s="27" t="str">
        <x:v>Only with M5; order together</x:v>
      </x:c>
      <x:c r="K106" s="27" t="str">
        <x:v>1 cable per motor; 1 bracket pair and 1 hub pair suffice for up to 2 motors Buy only when needed.</x:v>
      </x:c>
      <x:c r="L106" s="27" t="str">
        <x:v>motors</x:v>
      </x:c>
      <x:c r="M106" s="25"/>
      <x:c r="N106" s="64" t="str">
        <x:v>https://www.pololu.com/product/4763</x:v>
      </x:c>
      <x:c r="O106" s="64" t="str">
        <x:v>https://www.pololu.com/product/1996
https://www.pololu.com/product/989</x:v>
      </x:c>
      <x:c r="P106" s="64" t="str">
        <x:v>https://www.pololu.com/product/4763</x:v>
      </x:c>
    </x:row>
    <x:row r="107" ht="90" customHeight="1">
      <x:c r="A107" s="27" t="str">
        <x:v>M8</x:v>
      </x:c>
      <x:c r="B107" s="27" t="str">
        <x:v>Stepper motion package</x:v>
      </x:c>
      <x:c r="C107" s="27" t="str">
        <x:v>For a defined small positioning mechanism: Pololu 1207 NEMA 14 stepper plus Tic T500 controller 3134, NEMA 14 bracket 2257, matching 5 mm hub 1998, micro-USB data cable and wired 12 V bench input</x:v>
      </x:c>
      <x:c r="D107" s="27" t="str">
        <x:v>For a defined stepper project: Pololu 1207 motor plus DRV8825 2133 controlled by the kit MCU</x:v>
      </x:c>
      <x:c r="E107" s="65" t="str">
        <x:v>Replace</x:v>
      </x:c>
      <x:c r="F107" s="27" t="str">
        <x:v>Lower-cost controller route from previous alternatives. Keep matching bracket/hub, set phase current and fit local supply capacitor. Tic adds convenient USB configuration and control.</x:v>
      </x:c>
      <x:c r="G107" s="27" t="str">
        <x:v>Motor US$30.32 + assembled Tic US$34.95 = US$65.27 before bracket, hub, cable, shipping/tax. No full-package quote. Checked 2026-09-29</x:v>
      </x:c>
      <x:c r="H107" s="27" t="str">
        <x:v>DRV8825 alternative needs a complete basket quote. Previous Tic basket price cannot be treated as the new total.</x:v>
      </x:c>
      <x:c r="I107" s="27" t="str">
        <x:v>Lower-cost DRV8825 carrier 2133 with MCU STEP/DIR, correctly adjusted phase current and at least 47 µF local VMOT electrolytic; more setup responsibility</x:v>
      </x:c>
      <x:c r="J107" s="27" t="str">
        <x:v>Later; not part of the first servo basket</x:v>
      </x:c>
      <x:c r="K107" s="27" t="str">
        <x:v>One matched package only when a stepper project is chosen</x:v>
      </x:c>
      <x:c r="L107" s="27" t="str">
        <x:v>motors</x:v>
      </x:c>
      <x:c r="M107" s="25"/>
      <x:c r="N107" s="64" t="str">
        <x:v>https://www.pololu.com/product/1207</x:v>
      </x:c>
      <x:c r="O107" s="64" t="str">
        <x:v>https://www.pololu.com/product/3134
https://www.pololu.com/product/2257
https://www.pololu.com/product/1998
https://www.pololu.com/product/2133</x:v>
      </x:c>
      <x:c r="P107" s="64" t="str">
        <x:v>https://www.pololu.com/product/3134
https://www.pololu.com/product/2257
https://www.pololu.com/product/1998
https://www.pololu.com/product/2133</x:v>
      </x:c>
    </x:row>
    <x:row r="108" ht="84" customHeight="1">
      <x:c r="A108" s="27" t="str">
        <x:v>S1</x:v>
      </x:c>
      <x:c r="B108" s="27" t="str">
        <x:v>Distance sensor</x:v>
      </x:c>
      <x:c r="C108" s="27" t="str">
        <x:v>Adafruit VL53L1X STEMMA QT breakout #3967</x:v>
      </x:c>
      <x:c r="D108" s="27" t="str">
        <x:v>Adafruit VL53L1X #3967 when actual ranging is needed; skip with Arduino kit</x:v>
      </x:c>
      <x:c r="E108" s="68" t="str">
        <x:v>Conditional</x:v>
      </x:c>
      <x:c r="F108" s="27" t="str">
        <x:v>Grove has no distance sensor. Retain this documented breakout when needed rather than assuming the cheaper kit covers it.</x:v>
      </x:c>
      <x:c r="G108" s="27" t="str">
        <x:v>US$14.95; shown in stock. Shipping, Israeli tax/import charges excluded.</x:v>
      </x:c>
      <x:c r="H108" s="27" t="str">
        <x:v>Separate add-on with Grove; included Modulino route only with Arduino kit. Prior individual module quote retained.</x:v>
      </x:c>
      <x:c r="I108" s="27" t="str">
        <x:v>Use the Plug &amp; Make kit's Modulino Distance first if buying that kit; do not buy a duplicate range sensor initially.</x:v>
      </x:c>
      <x:c r="J108" s="27" t="str">
        <x:v>Alternative only — already covered by selected B1 kit</x:v>
      </x:c>
      <x:c r="K108" s="27" t="str">
        <x:v>1</x:v>
      </x:c>
      <x:c r="L108" s="27" t="str">
        <x:v>sensors</x:v>
      </x:c>
      <x:c r="M108" s="25"/>
      <x:c r="N108" s="64" t="str">
        <x:v>https://learn.adafruit.com/adafruit-vl53l1x/pinouts</x:v>
      </x:c>
      <x:c r="O108" s="64" t="str">
        <x:v>https://www.adafruit.com/product/3967
https://adafruit.github.io/Adafruit_VL53L1X/html/class_adafruit___v_l53_l1_x.html</x:v>
      </x:c>
      <x:c r="P108" s="64" t="str">
        <x:v>https://www.adafruit.com/product/3967
https://adafruit.github.io/Adafruit_VL53L1X/html/class_adafruit___v_l53_l1_x.html</x:v>
      </x:c>
    </x:row>
    <x:row r="109" ht="90" customHeight="1">
      <x:c r="A109" s="27" t="str">
        <x:v>S2</x:v>
      </x:c>
      <x:c r="B109" s="27" t="str">
        <x:v>Gyro-capable IMU</x:v>
      </x:c>
      <x:c r="C109" s="27" t="str">
        <x:v>Adafruit ISM330DHCX 6-DoF IMU STEMMA QT breakout #4502</x:v>
      </x:c>
      <x:c r="D109" s="27" t="str">
        <x:v>Adafruit LSM6DSOX #4438 when angular-rate sensing is needed</x:v>
      </x:c>
      <x:c r="E109" s="65" t="str">
        <x:v>Replace</x:v>
      </x:c>
      <x:c r="F109" s="27" t="str">
        <x:v>Previously identified cheaper IMU versus ISM330DHCX. Grove accelerometer cannot measure gyro rates. Arduino kit already includes LSM6DSOX-based Movement.</x:v>
      </x:c>
      <x:c r="G109" s="27" t="str">
        <x:v>US$19.95 recommended; shown in stock. US$11.95 alternative listing, direct out of stock. Shipping/tax/import extra.</x:v>
      </x:c>
      <x:c r="H109" s="27" t="str">
        <x:v>Prior Adafruit USD 11.95 reference; direct stock was unavailable. Authorized distributor availability/delivered price required.</x:v>
      </x:c>
      <x:c r="I109" s="27" t="str">
        <x:v>Adafruit LSM6DSOX breakout #4438 is adequate and cheaper at US$11.95; Adafruit direct is out of stock, so check authorized distributors. If Plug &amp; Make selected, begin with its Modulino Movement instead.</x:v>
      </x:c>
      <x:c r="J109" s="27" t="str">
        <x:v>Alternative only — already covered by selected B1 kit</x:v>
      </x:c>
      <x:c r="K109" s="27" t="str">
        <x:v>1</x:v>
      </x:c>
      <x:c r="L109" s="27" t="str">
        <x:v>sensors</x:v>
      </x:c>
      <x:c r="M109" s="25"/>
      <x:c r="N109" s="64" t="str">
        <x:v>https://learn.adafruit.com/lsm6dsox-and-ism330dhc-6-dof-imu/pinouts</x:v>
      </x:c>
      <x:c r="O109" s="64" t="str">
        <x:v>https://www.adafruit.com/product/4502
https://www.adafruit.com/product/4438
https://adafruit.github.io/Adafruit_LSM6DS/html/class_adafruit___l_s_m6_d_s.html
https://learn.adafruit.com/adafruit-9-dof-orientation-imu-fusion-breakout-bno085</x:v>
      </x:c>
      <x:c r="P109" s="64" t="str">
        <x:v>https://www.adafruit.com/product/4438</x:v>
      </x:c>
    </x:row>
    <x:row r="110" ht="84" customHeight="1">
      <x:c r="A110" s="27" t="str">
        <x:v>S3</x:v>
      </x:c>
      <x:c r="B110" s="27" t="str">
        <x:v>Temperature and humidity sensor</x:v>
      </x:c>
      <x:c r="C110" s="27" t="str">
        <x:v>Adafruit Sensirion SHT40 STEMMA QT breakout #4885</x:v>
      </x:c>
      <x:c r="D110" s="27" t="str">
        <x:v>Use selected kit temperature/humidity module; retain SHT40 for higher-specificity measurement needs</x:v>
      </x:c>
      <x:c r="E110" s="67" t="str">
        <x:v>Included</x:v>
      </x:c>
      <x:c r="F110" s="27" t="str">
        <x:v>Grove covers basic environment experiments. Sensor accuracy and calibration differ; SHT40 is an upgrade, not a compulsory starter duplicate.</x:v>
      </x:c>
      <x:c r="G110" s="27" t="str">
        <x:v>US$5.95; shown in stock. Shipping/tax/import extra.</x:v>
      </x:c>
      <x:c r="H110" s="27" t="str">
        <x:v>No extra module for basic kit experiments.</x:v>
      </x:c>
      <x:c r="I110" s="27" t="str">
        <x:v>Use Modulino Thermo if buying Plug &amp; Make; do not also buy SHT40 for the same first experiments.</x:v>
      </x:c>
      <x:c r="J110" s="27" t="str">
        <x:v>Alternative only — already covered by selected B1 kit</x:v>
      </x:c>
      <x:c r="K110" s="27" t="str">
        <x:v>1 No separate initial purchase.</x:v>
      </x:c>
      <x:c r="L110" s="27" t="str">
        <x:v>sensors</x:v>
      </x:c>
      <x:c r="M110" s="25"/>
      <x:c r="N110" s="64" t="str">
        <x:v>https://learn.adafruit.com/adafruit-sht40-temperature-humidity-sensor/pinouts</x:v>
      </x:c>
      <x:c r="O110" s="64" t="str">
        <x:v>https://www.adafruit.com/product/4885
https://github.com/adafruit/Adafruit_SHT4X/blob/master/Adafruit_SHT4x.h</x:v>
      </x:c>
      <x:c r="P110" s="64" t="str">
        <x:v>https://wiki.seeedstudio.com/Grove-Beginner-Kit-For-Arduino/
https://www.adafruit.com/product/4885
https://github.com/adafruit/Adafruit_SHT4X/blob/master/Adafruit_SHT4x.h</x:v>
      </x:c>
    </x:row>
    <x:row r="111" ht="84" customHeight="1">
      <x:c r="A111" s="27" t="str">
        <x:v>S4</x:v>
      </x:c>
      <x:c r="B111" s="27" t="str">
        <x:v>Contact/endstop switches</x:v>
      </x:c>
      <x:c r="C111" s="27" t="str">
        <x:v>2 x Adafruit Micro Switch with Lever, two-terminal #818</x:v>
      </x:c>
      <x:c r="D111" s="27" t="str">
        <x:v>2 x Adafruit Micro Switch with Lever, two-terminal #818</x:v>
      </x:c>
      <x:c r="E111" s="68" t="str">
        <x:v>Conditional</x:v>
      </x:c>
      <x:c r="F111" s="27" t="str">
        <x:v>Two lever switches are inexpensive useful contact/endstop inputs. Choose lever geometry and NO/NC contacts for the mechanism.</x:v>
      </x:c>
      <x:c r="G111" s="27" t="str">
        <x:v>US$1.50 each; US$3.00 pair. Shown in stock; shipping/tax/import extra.</x:v>
      </x:c>
      <x:c r="H111" s="27" t="str">
        <x:v>Same candidate: see previous price. No new price claim.</x:v>
      </x:c>
      <x:c r="I111" s="27" t="str">
        <x:v>Use a three-terminal roller-lever switch when the mechanism needs a roller or normally-closed contact; choose dimensions after the mechanism is defined.</x:v>
      </x:c>
      <x:c r="J111" s="27" t="str">
        <x:v>Optional useful add-on — first contact or endstop mechanism</x:v>
      </x:c>
      <x:c r="K111" s="27" t="str">
        <x:v>2</x:v>
      </x:c>
      <x:c r="L111" s="27" t="str">
        <x:v>sensors</x:v>
      </x:c>
      <x:c r="M111" s="25"/>
      <x:c r="N111" s="64" t="str">
        <x:v>https://www.adafruit.com/product/818</x:v>
      </x:c>
      <x:c r="O111" s="64" t="str">
        <x:v>https://www.adafruit.com/product/818</x:v>
      </x:c>
      <x:c r="P111" s="64" t="str">
        <x:v>https://www.adafruit.com/product/818</x:v>
      </x:c>
    </x:row>
    <x:row r="112" ht="84" customHeight="1">
      <x:c r="A112" s="27" t="str">
        <x:v>S5</x:v>
      </x:c>
      <x:c r="B112" s="27" t="str">
        <x:v>Light sensor</x:v>
      </x:c>
      <x:c r="C112" s="27" t="str">
        <x:v>Adafruit VEML7700 STEMMA QT breakout #4162</x:v>
      </x:c>
      <x:c r="D112" s="27" t="str">
        <x:v>Use Grove light module or row 58 photocell first; VEML7700 for actual lux measurements</x:v>
      </x:c>
      <x:c r="E112" s="67" t="str">
        <x:v>Included</x:v>
      </x:c>
      <x:c r="F112" s="27" t="str">
        <x:v>Basic bright/dark sensing is covered. It is not a calibrated digital lux reading.</x:v>
      </x:c>
      <x:c r="G112" s="27" t="str">
        <x:v>US$4.95; shown in stock. Shipping/tax/import extra.</x:v>
      </x:c>
      <x:c r="H112" s="27" t="str">
        <x:v>No additional module for basic light detection.</x:v>
      </x:c>
      <x:c r="I112" s="27" t="str">
        <x:v>Use the photocell already included in KIT-27842 for simple bright/dark experiments; buy VEML7700 when repeatable lux readings or a digital interface matter.</x:v>
      </x:c>
      <x:c r="J112" s="27" t="str">
        <x:v>Optional—lighting or automatic brightness project</x:v>
      </x:c>
      <x:c r="K112" s="27" t="str">
        <x:v>1 No separate initial purchase.</x:v>
      </x:c>
      <x:c r="L112" s="27" t="str">
        <x:v>sensors</x:v>
      </x:c>
      <x:c r="M112" s="25"/>
      <x:c r="N112" s="64" t="str">
        <x:v>https://learn.adafruit.com/adafruit-veml7700/pinouts</x:v>
      </x:c>
      <x:c r="O112" s="64" t="str">
        <x:v>https://www.adafruit.com/product/4162
https://adafruit.github.io/Adafruit_VEML7700/html/class_adafruit___v_e_m_l7700.html</x:v>
      </x:c>
      <x:c r="P112" s="64" t="str">
        <x:v>https://wiki.seeedstudio.com/Grove-Beginner-Kit-For-Arduino/
https://www.adafruit.com/product/4162
https://adafruit.github.io/Adafruit_VEML7700/html/class_adafruit___v_e_m_l7700.html</x:v>
      </x:c>
    </x:row>
    <x:row r="113" ht="84" customHeight="1">
      <x:c r="A113" s="27" t="str">
        <x:v>S6</x:v>
      </x:c>
      <x:c r="B113" s="27" t="str">
        <x:v>Display</x:v>
      </x:c>
      <x:c r="C113" s="27" t="str">
        <x:v>Adafruit 0.96-inch 128x64 SSD1306 OLED with STEMMA QT #326</x:v>
      </x:c>
      <x:c r="D113" s="27" t="str">
        <x:v>Use Grove included OLED or host serial output first</x:v>
      </x:c>
      <x:c r="E113" s="67" t="str">
        <x:v>Included</x:v>
      </x:c>
      <x:c r="F113" s="27" t="str">
        <x:v>Retain separate Adafruit display for an independent enclosure. Arduino route has LED matrix, not a text OLED.</x:v>
      </x:c>
      <x:c r="G113" s="27" t="str">
        <x:v>US$17.50; shown in stock. Shipping/tax/import extra.</x:v>
      </x:c>
      <x:c r="H113" s="27" t="str">
        <x:v>No separate first display with Grove.</x:v>
      </x:c>
      <x:c r="I113" s="27" t="str">
        <x:v>Start with USB serial output and the UNO R4 WiFi's built-in LED matrix; add this when an enclosure or untethered gadget needs text/numbers.</x:v>
      </x:c>
      <x:c r="J113" s="27" t="str">
        <x:v>Optional—first standalone gadget</x:v>
      </x:c>
      <x:c r="K113" s="27" t="str">
        <x:v>1 No separate initial purchase.</x:v>
      </x:c>
      <x:c r="L113" s="27" t="str">
        <x:v>sensors</x:v>
      </x:c>
      <x:c r="M113" s="25"/>
      <x:c r="N113" s="64" t="str">
        <x:v>https://learn.adafruit.com/monochrome-oled-breakouts</x:v>
      </x:c>
      <x:c r="O113" s="64" t="str">
        <x:v>https://www.adafruit.com/product/326
https://adafruit.github.io/Adafruit_SSD1306/html/class_adafruit___s_s_d1306.html</x:v>
      </x:c>
      <x:c r="P113" s="64" t="str">
        <x:v>https://wiki.seeedstudio.com/Grove-Beginner-Kit-For-Arduino/
https://www.adafruit.com/product/326
https://adafruit.github.io/Adafruit_SSD1306/html/class_adafruit___s_s_d1306.html</x:v>
      </x:c>
    </x:row>
    <x:row r="114" ht="84" customHeight="1">
      <x:c r="A114" s="27" t="str">
        <x:v>S7</x:v>
      </x:c>
      <x:c r="B114" s="27" t="str">
        <x:v>Sensor cables</x:v>
      </x:c>
      <x:c r="C114" s="27" t="str">
        <x:v>4 x Adafruit #4210 STEMMA QT / Qwiic JST-SH four-pin 100 mm cables</x:v>
      </x:c>
      <x:c r="D114" s="27" t="str">
        <x:v>Use selected kit matching cables first</x:v>
      </x:c>
      <x:c r="E114" s="67" t="str">
        <x:v>Included</x:v>
      </x:c>
      <x:c r="F114" s="27" t="str">
        <x:v>Grove 2 mm four-pin and Qwiic/STEMMA QT JST-SH 1 mm are NOT interchangeable. Standalone Adafruit boards may need separate correctly wired leads; match voltage and signal pins.</x:v>
      </x:c>
      <x:c r="G114" s="27" t="str">
        <x:v>US$0.95 each; US$3.80 for four. #4401 200 mm variant US$1.25. Shipping/tax/import extra.</x:v>
      </x:c>
      <x:c r="H114" s="27" t="str">
        <x:v>Included kit cables. Extra adapter/breakout wiring quoted only with module selection.</x:v>
      </x:c>
      <x:c r="I114" s="27" t="str">
        <x:v>Adafruit #4401 200 mm cable for a sensor position that needs the extra reach; if Plug &amp; Make kit selected use included cables before buying extras.</x:v>
      </x:c>
      <x:c r="J114" s="27" t="str">
        <x:v>Alternative only — already covered by selected B1 kit</x:v>
      </x:c>
      <x:c r="K114" s="27" t="str">
        <x:v>4 No separate initial purchase.</x:v>
      </x:c>
      <x:c r="L114" s="27" t="str">
        <x:v>sensors</x:v>
      </x:c>
      <x:c r="M114" s="25"/>
      <x:c r="N114" s="64" t="str">
        <x:v>https://www.adafruit.com/product/4210</x:v>
      </x:c>
      <x:c r="O114" s="64" t="str">
        <x:v>https://www.adafruit.com/product/4210
https://www.adafruit.com/product/4401</x:v>
      </x:c>
      <x:c r="P114" s="64" t="str">
        <x:v>https://wiki.seeedstudio.com/Grove-Beginner-Kit-For-Arduino/
https://www.adafruit.com/product/4210
https://www.adafruit.com/product/4401</x:v>
      </x:c>
    </x:row>
    <x:row r="115" ht="84" customHeight="1">
      <x:c r="A115" s="27" t="str">
        <x:v>S8</x:v>
      </x:c>
      <x:c r="B115" s="27" t="str">
        <x:v>Buzzer</x:v>
      </x:c>
      <x:c r="C115" s="27" t="str">
        <x:v>Adafruit PS1240 passive piezo buzzer #160, with a 1 kΩ series resistor from the existing resistor kit for the initial GPIO experiment</x:v>
      </x:c>
      <x:c r="D115" s="27" t="str">
        <x:v>Use selected kit buzzer first</x:v>
      </x:c>
      <x:c r="E115" s="67" t="str">
        <x:v>Included</x:v>
      </x:c>
      <x:c r="F115" s="27" t="str">
        <x:v>Standalone piezo only for an independent gadget. Do not assume any louder buzzer can be driven directly by a GPIO.</x:v>
      </x:c>
      <x:c r="G115" s="27" t="str">
        <x:v>US$1.50; shown in stock. Shipping/tax/import extra.</x:v>
      </x:c>
      <x:c r="H115" s="27" t="str">
        <x:v>No extra first buzzer purchase.</x:v>
      </x:c>
      <x:c r="I115" s="27" t="str">
        <x:v>Use Modulino Buzzer if Plug &amp; Make selected; do not buy both initially. A louder dedicated piezo driver is a later requirement.</x:v>
      </x:c>
      <x:c r="J115" s="27" t="str">
        <x:v>Alternative only — already covered by selected B1 kit</x:v>
      </x:c>
      <x:c r="K115" s="27" t="str">
        <x:v>1 No separate initial purchase.</x:v>
      </x:c>
      <x:c r="L115" s="27" t="str">
        <x:v>sensors</x:v>
      </x:c>
      <x:c r="M115" s="25"/>
      <x:c r="N115" s="64" t="str">
        <x:v>https://www.adafruit.com/product/160</x:v>
      </x:c>
      <x:c r="O115" s="64" t="str">
        <x:v>https://www.adafruit.com/product/160</x:v>
      </x:c>
      <x:c r="P115" s="64" t="str">
        <x:v>https://wiki.seeedstudio.com/Grove-Beginner-Kit-For-Arduino/
https://www.adafruit.com/product/160</x:v>
      </x:c>
    </x:row>
    <x:row r="116" ht="110" customHeight="1">
      <x:c r="A116" s="27" t="str">
        <x:v>PR1</x:v>
      </x:c>
      <x:c r="B116" s="27" t="str">
        <x:v>Textured PEI plate</x:v>
      </x:c>
      <x:c r="C116" s="27" t="str">
        <x:v>Extra textured PEI plate</x:v>
      </x:c>
      <x:c r="D116" s="27" t="str">
        <x:v>Use P2S supplied textured PEI plate</x:v>
      </x:c>
      <x:c r="E116" s="71" t="str">
        <x:v>Included</x:v>
      </x:c>
      <x:c r="F116" s="27" t="str">
        <x:v>No second plate initially. A smooth plate later offers a different finish. Select P2S-compatible version; older plates may require disabling detection.</x:v>
      </x:c>
      <x:c r="G116" s="27" t="str">
        <x:v>Not separately priced in original workbook</x:v>
      </x:c>
      <x:c r="H116" s="27" t="str">
        <x:v>Included with selected printer; no extra purchase.</x:v>
      </x:c>
      <x:c r="I116" s="27" t="str">
        <x:v>See earlier printer discussion</x:v>
      </x:c>
      <x:c r="J116" s="27" t="str">
        <x:v>Initial decision</x:v>
      </x:c>
      <x:c r="K116" s="27" t="str">
        <x:v>0 extra plates</x:v>
      </x:c>
      <x:c r="L116" s="27" t="str">
        <x:v>printing</x:v>
      </x:c>
      <x:c r="N116" s="64" t="str"/>
      <x:c r="O116" s="64" t="str"/>
      <x:c r="P116" s="64" t="str">
        <x:v>https://bambu-lab-jp.myshopify.com/en/products/bambu-textured-pei-plate
https://csm.bblcdn.com/hub/9425242c00344b0e801b6179f9a243aa.pdf</x:v>
      </x:c>
    </x:row>
    <x:row r="117" ht="110" customHeight="1">
      <x:c r="A117" s="27" t="str">
        <x:v>PR2</x:v>
      </x:c>
      <x:c r="B117" s="27" t="str">
        <x:v>Hardened extruder gear assembly</x:v>
      </x:c>
      <x:c r="C117" s="27" t="str">
        <x:v>Hardened extruder upgrade</x:v>
      </x:c>
      <x:c r="D117" s="27" t="str">
        <x:v>Use P2S supplied hardened gears</x:v>
      </x:c>
      <x:c r="E117" s="71" t="str">
        <x:v>Included</x:v>
      </x:c>
      <x:c r="F117" s="27" t="str">
        <x:v>Already fitted. No upgrade or spare extruder assembly needed for the initial materials.</x:v>
      </x:c>
      <x:c r="G117" s="27" t="str">
        <x:v>Not separately priced in original workbook</x:v>
      </x:c>
      <x:c r="H117" s="27" t="str">
        <x:v>Included with selected printer; no extra purchase.</x:v>
      </x:c>
      <x:c r="I117" s="27" t="str">
        <x:v>See earlier printer discussion</x:v>
      </x:c>
      <x:c r="J117" s="27" t="str">
        <x:v>Initial decision</x:v>
      </x:c>
      <x:c r="K117" s="27" t="str">
        <x:v>0 extra assemblies</x:v>
      </x:c>
      <x:c r="L117" s="27" t="str">
        <x:v>printing</x:v>
      </x:c>
      <x:c r="N117" s="64" t="str"/>
      <x:c r="O117" s="64" t="str"/>
      <x:c r="P117" s="64" t="str">
        <x:v>https://csm.bblcdn.com/hub/9425242c00344b0e801b6179f9a243aa.pdf</x:v>
      </x:c>
    </x:row>
    <x:row r="118" ht="110" customHeight="1">
      <x:c r="A118" s="27" t="str">
        <x:v>PR3</x:v>
      </x:c>
      <x:c r="B118" s="27" t="str">
        <x:v>Filament cutter blades</x:v>
      </x:c>
      <x:c r="C118" s="27" t="str">
        <x:v>Replacement cutter pack</x:v>
      </x:c>
      <x:c r="D118" s="27" t="str">
        <x:v>Count toolbox spares before buying a refill</x:v>
      </x:c>
      <x:c r="E118" s="71" t="str">
        <x:v>Included</x:v>
      </x:c>
      <x:c r="F118" s="27" t="str">
        <x:v>P2S manual lists a spare blade in the toolbox. Buy one model-compatible small pack only when remaining stock is low.</x:v>
      </x:c>
      <x:c r="G118" s="27" t="str">
        <x:v>Not separately priced in original workbook</x:v>
      </x:c>
      <x:c r="H118" s="27" t="str">
        <x:v>Included with selected printer; no extra purchase.</x:v>
      </x:c>
      <x:c r="I118" s="27" t="str">
        <x:v>See earlier printer discussion</x:v>
      </x:c>
      <x:c r="J118" s="27" t="str">
        <x:v>Initial decision</x:v>
      </x:c>
      <x:c r="K118" s="27" t="str">
        <x:v>0 packs initially; confirm included stock</x:v>
      </x:c>
      <x:c r="L118" s="27" t="str">
        <x:v>printing</x:v>
      </x:c>
      <x:c r="N118" s="64" t="str"/>
      <x:c r="O118" s="64" t="str"/>
      <x:c r="P118" s="64" t="str">
        <x:v>https://csm.bblcdn.com/hub/9425242c00344b0e801b6179f9a243aa.pdf</x:v>
      </x:c>
    </x:row>
    <x:row r="119" ht="110" customHeight="1">
      <x:c r="A119" s="27" t="str">
        <x:v>PR4</x:v>
      </x:c>
      <x:c r="B119" s="27" t="str">
        <x:v>Hotend silicone socks</x:v>
      </x:c>
      <x:c r="C119" s="27" t="str">
        <x:v>Replacement silicone socks</x:v>
      </x:c>
      <x:c r="D119" s="27" t="str">
        <x:v>Use installed sock and included spare first</x:v>
      </x:c>
      <x:c r="E119" s="71" t="str">
        <x:v>Included</x:v>
      </x:c>
      <x:c r="F119" s="27" t="str">
        <x:v>Keep 1–2 spares available after counting toolbox contents. Replace damaged or loose socks; match P2S hotend.</x:v>
      </x:c>
      <x:c r="G119" s="27" t="str">
        <x:v>Not separately priced in original workbook</x:v>
      </x:c>
      <x:c r="H119" s="27" t="str">
        <x:v>Included with selected printer; no extra purchase.</x:v>
      </x:c>
      <x:c r="I119" s="27" t="str">
        <x:v>See earlier printer discussion</x:v>
      </x:c>
      <x:c r="J119" s="27" t="str">
        <x:v>Initial decision</x:v>
      </x:c>
      <x:c r="K119" s="27" t="str">
        <x:v>0 packs initially; confirm included stock</x:v>
      </x:c>
      <x:c r="L119" s="27" t="str">
        <x:v>printing</x:v>
      </x:c>
      <x:c r="N119" s="64" t="str"/>
      <x:c r="O119" s="64" t="str"/>
      <x:c r="P119" s="64" t="str">
        <x:v>https://csm.bblcdn.com/hub/9425242c00344b0e801b6179f9a243aa.pdf</x:v>
      </x:c>
    </x:row>
    <x:row r="120" ht="110" customHeight="1">
      <x:c r="A120" s="27" t="str">
        <x:v>PR5</x:v>
      </x:c>
      <x:c r="B120" s="27" t="str">
        <x:v>Spare PTFE tubing</x:v>
      </x:c>
      <x:c r="C120" s="27" t="str">
        <x:v>1–2 m transparent PTFE</x:v>
      </x:c>
      <x:c r="D120" s="27" t="str">
        <x:v>Optional 1–2 m PTFE, 4 mm OD / 2.5 mm ID</x:v>
      </x:c>
      <x:c r="E120" s="72" t="str">
        <x:v>Defer</x:v>
      </x:c>
      <x:c r="F120" s="27" t="str">
        <x:v>Select low-friction genuine PTFE with correct dimensions. Cut square to required route; transparency is secondary. Stock tubing is already supplied for setup.</x:v>
      </x:c>
      <x:c r="G120" s="27" t="str">
        <x:v>Not separately priced in original workbook</x:v>
      </x:c>
      <x:c r="H120" s="27" t="str">
        <x:v>Optional; current delivered quote required before ordering.</x:v>
      </x:c>
      <x:c r="I120" s="27" t="str">
        <x:v>See earlier printer discussion</x:v>
      </x:c>
      <x:c r="J120" s="27" t="str">
        <x:v>Initial decision</x:v>
      </x:c>
      <x:c r="K120" s="27" t="str">
        <x:v>0 initially; optional 1–2 m</x:v>
      </x:c>
      <x:c r="L120" s="27" t="str">
        <x:v>printing</x:v>
      </x:c>
      <x:c r="N120" s="64" t="str"/>
      <x:c r="O120" s="64" t="str"/>
      <x:c r="P120" s="64" t="str">
        <x:v>https://bambu-lab-global.myshopify.com/products/ptfe-tubes</x:v>
      </x:c>
    </x:row>
    <x:row r="121" ht="110" customHeight="1">
      <x:c r="A121" s="27" t="str">
        <x:v>PR6</x:v>
      </x:c>
      <x:c r="B121" s="27" t="str">
        <x:v>ASA filament</x:v>
      </x:c>
      <x:c r="C121" s="27" t="str">
        <x:v>ASA spool</x:v>
      </x:c>
      <x:c r="D121" s="27" t="str">
        <x:v>Optional 1 kg ASA for outdoor or heat-exposed parts</x:v>
      </x:c>
      <x:c r="E121" s="72" t="str">
        <x:v>Defer</x:v>
      </x:c>
      <x:c r="F121" s="27" t="str">
        <x:v>Enclosed P2S supports an ASA route. Resolve room extraction before use and follow filament drying/printing requirements. No immediate ASA project confirmed.</x:v>
      </x:c>
      <x:c r="G121" s="27" t="str">
        <x:v>Not separately priced in original workbook</x:v>
      </x:c>
      <x:c r="H121" s="27" t="str">
        <x:v>Optional; current delivered quote required before ordering.</x:v>
      </x:c>
      <x:c r="I121" s="27" t="str">
        <x:v>See earlier printer discussion</x:v>
      </x:c>
      <x:c r="J121" s="27" t="str">
        <x:v>Initial decision</x:v>
      </x:c>
      <x:c r="K121" s="27" t="str">
        <x:v>0 initially; 1 kg when needed</x:v>
      </x:c>
      <x:c r="L121" s="27" t="str">
        <x:v>printing</x:v>
      </x:c>
      <x:c r="N121" s="64" t="str"/>
      <x:c r="O121" s="64" t="str"/>
      <x:c r="P121" s="64" t="str">
        <x:v>https://us.store.bambulab.com/products/asa-filament</x:v>
      </x:c>
    </x:row>
    <x:row r="122" ht="110" customHeight="1">
      <x:c r="A122" s="27" t="str">
        <x:v>PR7</x:v>
      </x:c>
      <x:c r="B122" s="27" t="str">
        <x:v>Support filament for PLA</x:v>
      </x:c>
      <x:c r="C122" s="27" t="str">
        <x:v>Support for PLA spool</x:v>
      </x:c>
      <x:c r="D122" s="27" t="str">
        <x:v>Use same-material supports first; dedicated interface material later</x:v>
      </x:c>
      <x:c r="E122" s="72" t="str">
        <x:v>Defer</x:v>
      </x:c>
      <x:c r="F122" s="27" t="str">
        <x:v>For difficult supported surfaces use compatible support filament at the interface only. It is not structural model material. Start with orientation and ordinary supports.</x:v>
      </x:c>
      <x:c r="G122" s="27" t="str">
        <x:v>Not separately priced in original workbook</x:v>
      </x:c>
      <x:c r="H122" s="27" t="str">
        <x:v>Optional; current delivered quote required before ordering.</x:v>
      </x:c>
      <x:c r="I122" s="27" t="str">
        <x:v>See earlier printer discussion</x:v>
      </x:c>
      <x:c r="J122" s="27" t="str">
        <x:v>Initial decision</x:v>
      </x:c>
      <x:c r="K122" s="27" t="str">
        <x:v>0 initially; smallest suitable spool later</x:v>
      </x:c>
      <x:c r="L122" s="27" t="str">
        <x:v>printing</x:v>
      </x:c>
      <x:c r="N122" s="64" t="str"/>
      <x:c r="O122" s="64" t="str"/>
      <x:c r="P122" s="64" t="str">
        <x:v>https://bambu-lab-global.myshopify.com/products/support-for-pla</x:v>
      </x:c>
    </x:row>
    <x:row r="123" ht="110" customHeight="1">
      <x:c r="A123" s="27" t="str">
        <x:v>PR8</x:v>
      </x:c>
      <x:c r="B123" s="27" t="str">
        <x:v>Printer maintenance lubricants</x:v>
      </x:c>
      <x:c r="C123" s="27" t="str">
        <x:v>Maintenance oil/grease refills</x:v>
      </x:c>
      <x:c r="D123" s="27" t="str">
        <x:v>Use supplied maintenance stock and P2S-specific instructions</x:v>
      </x:c>
      <x:c r="E123" s="72" t="str">
        <x:v>Defer</x:v>
      </x:c>
      <x:c r="F123" s="27" t="str">
        <x:v>Oil and grease have different applications; follow the P2S guide rather than P1 carbon-rod advice. Refill only when needed.</x:v>
      </x:c>
      <x:c r="G123" s="27" t="str">
        <x:v>Not separately priced in original workbook</x:v>
      </x:c>
      <x:c r="H123" s="27" t="str">
        <x:v>Optional; current delivered quote required before ordering.</x:v>
      </x:c>
      <x:c r="I123" s="27" t="str">
        <x:v>See earlier printer discussion</x:v>
      </x:c>
      <x:c r="J123" s="27" t="str">
        <x:v>Initial decision</x:v>
      </x:c>
      <x:c r="K123" s="27" t="str">
        <x:v>0 refills initially; inspect included stock</x:v>
      </x:c>
      <x:c r="L123" s="27" t="str">
        <x:v>printing</x:v>
      </x:c>
      <x:c r="N123" s="64" t="str"/>
      <x:c r="O123" s="64" t="str"/>
      <x:c r="P123" s="64" t="str">
        <x:v>https://csm.bblcdn.com/hub/9425242c00344b0e801b6179f9a243aa.pdf</x:v>
      </x:c>
    </x:row>
  </x:sheetData>
  <x:pageMargins left="0.7" right="0.7" top="0.75" bottom="0.75" header="0.3" footer="0.3"/>
  <x:tableParts count="1">
    <x:tablePart xmlns:r="http://schemas.openxmlformats.org/officeDocument/2006/relationships" r:id="Re96465fd08544f30"/>
  </x:tableParts>
</x:worksheet>
</file>